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020519" sheetId="1" r:id="rId1"/>
    <sheet name="GRAFICO" sheetId="2" r:id="rId2"/>
  </sheets>
  <externalReferences>
    <externalReference r:id="rId3"/>
    <externalReference r:id="rId4"/>
    <externalReference r:id="rId5"/>
    <externalReference r:id="rId6"/>
  </externalReferences>
  <calcPr calcId="152511"/>
</workbook>
</file>

<file path=xl/calcChain.xml><?xml version="1.0" encoding="utf-8"?>
<calcChain xmlns="http://schemas.openxmlformats.org/spreadsheetml/2006/main">
  <c r="B7" i="2" l="1"/>
  <c r="B6" i="2"/>
  <c r="F8" i="1" l="1"/>
  <c r="E8" i="1"/>
  <c r="D8" i="1"/>
  <c r="C8" i="1"/>
  <c r="H2" i="1" l="1"/>
  <c r="G2" i="1"/>
  <c r="H8" i="1" s="1"/>
  <c r="E2" i="1"/>
  <c r="G8" i="1" s="1"/>
  <c r="F2" i="1"/>
  <c r="A2" i="1"/>
  <c r="AV7" i="2" l="1"/>
  <c r="AV6" i="2" l="1"/>
  <c r="AV8" i="2" s="1"/>
</calcChain>
</file>

<file path=xl/sharedStrings.xml><?xml version="1.0" encoding="utf-8"?>
<sst xmlns="http://schemas.openxmlformats.org/spreadsheetml/2006/main" count="70" uniqueCount="26">
  <si>
    <t>DATA COMPRA</t>
  </si>
  <si>
    <t>VALOR COMPRADO</t>
  </si>
  <si>
    <t>FRAÇÃO</t>
  </si>
  <si>
    <t>VALOR TITULO NA COMPRA</t>
  </si>
  <si>
    <t>TÍTULO COMPRADO</t>
  </si>
  <si>
    <t>VALOR TITULO VENDA</t>
  </si>
  <si>
    <t>TAXA JUROS COMPRA (%)</t>
  </si>
  <si>
    <t>TAXA JUROS VENDA (%)</t>
  </si>
  <si>
    <t>Tesouro IPCA+ 2035</t>
  </si>
  <si>
    <t>Título</t>
  </si>
  <si>
    <t>Vencimento</t>
  </si>
  <si>
    <t>Taxa de Rendimento (% a.a.)</t>
  </si>
  <si>
    <t>Preço Unitário</t>
  </si>
  <si>
    <t>Dia/Mês</t>
  </si>
  <si>
    <t>VENDA</t>
  </si>
  <si>
    <t>COMPRA</t>
  </si>
  <si>
    <t>TITULO VENDA</t>
  </si>
  <si>
    <t>TITULO COMPRA</t>
  </si>
  <si>
    <t>Tesouro IPCA+ com Juros Semestrais</t>
  </si>
  <si>
    <t>Títulos</t>
  </si>
  <si>
    <t>Últ. 30 dias</t>
  </si>
  <si>
    <t>No ano</t>
  </si>
  <si>
    <t>12 meses</t>
  </si>
  <si>
    <t>Compra</t>
  </si>
  <si>
    <t>Venda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</si>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</sst>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164" formatCode="dd/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rgb="FFB2B2B2"/>
      </patternFill>
    </fill>
    <fill>
      <patternFill patternType="solid">
        <fgColor rgb="FFB2B2B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Border="1" applyAlignment="1">
      <alignment horizontal="center"/>
    </xf>
    <xf numFmtId="8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/>
    <xf numFmtId="0" fontId="2" fillId="0" borderId="0" xfId="0" applyFont="1" applyFill="1" applyBorder="1" applyAlignment="1">
      <alignment horizontal="center"/>
    </xf>
    <xf numFmtId="8" fontId="0" fillId="0" borderId="0" xfId="0" applyNumberFormat="1"/>
    <xf numFmtId="0" fontId="2" fillId="0" borderId="0" xfId="1" applyNumberFormat="1" applyFont="1" applyBorder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0" fillId="0" borderId="0" xfId="1" applyNumberFormat="1" applyFont="1"/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right"/>
    </xf>
    <xf numFmtId="0" fontId="0" fillId="0" borderId="0" xfId="0" applyNumberFormat="1"/>
    <xf numFmtId="14" fontId="3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8" fontId="3" fillId="3" borderId="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wrapText="1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" fontId="3" fillId="3" borderId="6" xfId="0" applyNumberFormat="1" applyFont="1" applyFill="1" applyBorder="1" applyAlignment="1">
      <alignment horizontal="center" wrapText="1"/>
    </xf>
    <xf numFmtId="16" fontId="3" fillId="3" borderId="7" xfId="0" applyNumberFormat="1" applyFont="1" applyFill="1" applyBorder="1" applyAlignment="1">
      <alignment horizontal="center" wrapText="1"/>
    </xf>
    <xf numFmtId="16" fontId="3" fillId="3" borderId="8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/>
    </xf>
    <xf numFmtId="0" fontId="0" fillId="0" borderId="9" xfId="0" applyFont="1" applyBorder="1" applyAlignment="1"/>
    <xf numFmtId="0" fontId="3" fillId="2" borderId="6" xfId="0" applyFont="1" applyFill="1" applyBorder="1" applyAlignment="1">
      <alignment horizontal="left"/>
    </xf>
    <xf numFmtId="14" fontId="3" fillId="2" borderId="7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wrapText="1"/>
    </xf>
    <xf numFmtId="14" fontId="3" fillId="3" borderId="8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8" fontId="3" fillId="3" borderId="7" xfId="0" applyNumberFormat="1" applyFont="1" applyFill="1" applyBorder="1" applyAlignment="1">
      <alignment horizontal="center" vertical="center"/>
    </xf>
    <xf numFmtId="8" fontId="3" fillId="3" borderId="8" xfId="0" applyNumberFormat="1" applyFont="1" applyFill="1" applyBorder="1" applyAlignment="1">
      <alignment horizontal="center" vertical="center"/>
    </xf>
    <xf numFmtId="0" fontId="0" fillId="0" borderId="8" xfId="0" applyFont="1" applyBorder="1" applyAlignment="1"/>
    <xf numFmtId="0" fontId="0" fillId="0" borderId="3" xfId="0" applyFont="1" applyBorder="1" applyAlignment="1"/>
    <xf numFmtId="8" fontId="0" fillId="0" borderId="0" xfId="1" applyNumberFormat="1" applyFont="1"/>
    <xf numFmtId="2" fontId="0" fillId="0" borderId="0" xfId="0" applyNumberFormat="1"/>
    <xf numFmtId="0" fontId="0" fillId="0" borderId="3" xfId="0" applyBorder="1"/>
    <xf numFmtId="0" fontId="0" fillId="0" borderId="0" xfId="0" applyFont="1" applyBorder="1" applyAlignment="1"/>
    <xf numFmtId="0" fontId="0" fillId="0" borderId="0" xfId="0" applyBorder="1"/>
    <xf numFmtId="14" fontId="2" fillId="0" borderId="5" xfId="0" applyNumberFormat="1" applyFont="1" applyBorder="1" applyAlignment="1"/>
    <xf numFmtId="0" fontId="3" fillId="3" borderId="10" xfId="0" applyFont="1" applyFill="1" applyBorder="1" applyAlignment="1">
      <alignment horizontal="center" vertical="center"/>
    </xf>
    <xf numFmtId="8" fontId="3" fillId="3" borderId="11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wrapText="1"/>
    </xf>
    <xf numFmtId="44" fontId="0" fillId="0" borderId="5" xfId="2" applyFont="1" applyBorder="1"/>
    <xf numFmtId="2" fontId="0" fillId="0" borderId="4" xfId="0" applyNumberFormat="1" applyBorder="1"/>
    <xf numFmtId="14" fontId="0" fillId="0" borderId="0" xfId="0" applyNumberFormat="1"/>
    <xf numFmtId="8" fontId="3" fillId="3" borderId="12" xfId="0" applyNumberFormat="1" applyFont="1" applyFill="1" applyBorder="1" applyAlignment="1">
      <alignment horizontal="center" vertical="center"/>
    </xf>
    <xf numFmtId="44" fontId="0" fillId="0" borderId="0" xfId="0" applyNumberFormat="1" applyBorder="1"/>
    <xf numFmtId="44" fontId="0" fillId="0" borderId="4" xfId="0" applyNumberFormat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left"/>
    </xf>
    <xf numFmtId="164" fontId="3" fillId="2" borderId="8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8" fontId="3" fillId="3" borderId="0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JUROS</a:t>
            </a:r>
            <a:r>
              <a:rPr lang="pt-BR" baseline="0"/>
              <a:t> DIA -A - DIA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GRAFICO!$B$4:$AU$4</c15:sqref>
                  </c15:fullRef>
                </c:ext>
              </c:extLst>
              <c:f>(GRAFICO!$D$4,GRAFICO!$F$4,GRAFICO!$H$4,GRAFICO!$J$4,GRAFICO!$L$4,GRAFICO!$N$4,GRAFICO!$P$4,GRAFICO!$R$4,GRAFICO!$T$4,GRAFICO!$V$4,GRAFICO!$X$4,GRAFICO!$Z$4,GRAFICO!$AB$4,GRAFICO!$AD$4,GRAFICO!$AF$4,GRAFICO!$AH$4,GRAFICO!$AJ$4,GRAFICO!$AL$4,GRAFICO!$AN$4,GRAFICO!$AP$4,GRAFICO!$AR$4,GRAFICO!$AT$4)</c:f>
              <c:numCache>
                <c:formatCode>m/d/yyyy</c:formatCode>
                <c:ptCount val="22"/>
                <c:pt idx="0" formatCode="General">
                  <c:v>3.67</c:v>
                </c:pt>
                <c:pt idx="1" formatCode="General">
                  <c:v>3.71</c:v>
                </c:pt>
                <c:pt idx="2" formatCode="General">
                  <c:v>3.76</c:v>
                </c:pt>
                <c:pt idx="3" formatCode="General">
                  <c:v>3.7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GRAFICO!$B$5:$AU$5</c15:sqref>
                  </c15:fullRef>
                </c:ext>
              </c:extLst>
              <c:f>(GRAFICO!$D$5,GRAFICO!$F$5,GRAFICO!$H$5,GRAFICO!$J$5,GRAFICO!$L$5,GRAFICO!$N$5,GRAFICO!$P$5,GRAFICO!$R$5,GRAFICO!$T$5,GRAFICO!$V$5,GRAFICO!$X$5,GRAFICO!$Z$5,GRAFICO!$AB$5,GRAFICO!$AD$5,GRAFICO!$AF$5,GRAFICO!$AH$5,GRAFICO!$AJ$5,GRAFICO!$AL$5,GRAFICO!$AN$5,GRAFICO!$AP$5,GRAFICO!$AR$5,GRAFICO!$AT$5)</c:f>
              <c:numCache>
                <c:formatCode>m/d/yyyy</c:formatCode>
                <c:ptCount val="22"/>
                <c:pt idx="0" formatCode="General">
                  <c:v>3.55</c:v>
                </c:pt>
                <c:pt idx="1" formatCode="General">
                  <c:v>3.59</c:v>
                </c:pt>
                <c:pt idx="2" formatCode="General">
                  <c:v>3.64</c:v>
                </c:pt>
                <c:pt idx="3" formatCode="General">
                  <c:v>3.58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501760"/>
        <c:axId val="14297315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GRAFICO!$B$6:$AU$6</c15:sqref>
                        </c15:fullRef>
                        <c15:formulaRef>
                          <c15:sqref>(GRAFICO!$D$6,GRAFICO!$F$6,GRAFICO!$H$6,GRAFICO!$J$6,GRAFICO!$L$6,GRAFICO!$N$6,GRAFICO!$P$6,GRAFICO!$R$6,GRAFICO!$T$6,GRAFICO!$V$6,GRAFICO!$X$6,GRAFICO!$Z$6,GRAFICO!$AB$6,GRAFICO!$AD$6,GRAFICO!$AF$6,GRAFICO!$AH$6,GRAFICO!$AJ$6,GRAFICO!$AL$6,GRAFICO!$AN$6,GRAFICO!$AP$6,GRAFICO!$AR$6,GRAFICO!$AT$6)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0.00">
                        <c:v>9.6199999999999992</c:v>
                      </c:pt>
                      <c:pt idx="1" formatCode="0.00">
                        <c:v>9.6199999999999992</c:v>
                      </c:pt>
                      <c:pt idx="2" formatCode="0.00">
                        <c:v>9.6199999999999992</c:v>
                      </c:pt>
                      <c:pt idx="3" formatCode="0.00">
                        <c:v>9.6199999999999992</c:v>
                      </c:pt>
                      <c:pt idx="4" formatCode="0.00">
                        <c:v>9.6199999999999992</c:v>
                      </c:pt>
                      <c:pt idx="5" formatCode="0.00">
                        <c:v>9.6199999999999992</c:v>
                      </c:pt>
                      <c:pt idx="6" formatCode="0.00">
                        <c:v>9.6199999999999992</c:v>
                      </c:pt>
                      <c:pt idx="7" formatCode="0.00">
                        <c:v>9.6199999999999992</c:v>
                      </c:pt>
                      <c:pt idx="8" formatCode="0.00">
                        <c:v>9.6199999999999992</c:v>
                      </c:pt>
                      <c:pt idx="9" formatCode="0.00">
                        <c:v>9.6199999999999992</c:v>
                      </c:pt>
                      <c:pt idx="10" formatCode="0.00">
                        <c:v>9.6199999999999992</c:v>
                      </c:pt>
                      <c:pt idx="11" formatCode="0.00">
                        <c:v>9.6199999999999992</c:v>
                      </c:pt>
                      <c:pt idx="12" formatCode="0.00">
                        <c:v>9.6199999999999992</c:v>
                      </c:pt>
                      <c:pt idx="13" formatCode="0.00">
                        <c:v>9.6199999999999992</c:v>
                      </c:pt>
                      <c:pt idx="14" formatCode="0.00">
                        <c:v>9.6199999999999992</c:v>
                      </c:pt>
                      <c:pt idx="15" formatCode="0.00">
                        <c:v>9.6199999999999992</c:v>
                      </c:pt>
                      <c:pt idx="16" formatCode="0.00">
                        <c:v>9.6199999999999992</c:v>
                      </c:pt>
                      <c:pt idx="17" formatCode="0.00">
                        <c:v>9.6199999999999992</c:v>
                      </c:pt>
                      <c:pt idx="18" formatCode="0.00">
                        <c:v>9.6199999999999992</c:v>
                      </c:pt>
                      <c:pt idx="19" formatCode="0.00">
                        <c:v>9.6199999999999992</c:v>
                      </c:pt>
                      <c:pt idx="20" formatCode="0.00">
                        <c:v>9.6199999999999992</c:v>
                      </c:pt>
                      <c:pt idx="21" formatCode="0.00">
                        <c:v>9.6199999999999992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GRAFICO!$A$7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GRAFICO!$B$7:$AU$7</c15:sqref>
                        </c15:fullRef>
                        <c15:formulaRef>
                          <c15:sqref>(GRAFICO!$D$7,GRAFICO!$F$7,GRAFICO!$H$7,GRAFICO!$J$7,GRAFICO!$L$7,GRAFICO!$N$7,GRAFICO!$P$7,GRAFICO!$R$7,GRAFICO!$T$7,GRAFICO!$V$7,GRAFICO!$X$7,GRAFICO!$Z$7,GRAFICO!$AB$7,GRAFICO!$AD$7,GRAFICO!$AF$7,GRAFICO!$AH$7,GRAFICO!$AJ$7,GRAFICO!$AL$7,GRAFICO!$AN$7,GRAFICO!$AP$7,GRAFICO!$AR$7,GRAFICO!$AT$7)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0.00">
                        <c:v>9.4700000000000006</c:v>
                      </c:pt>
                      <c:pt idx="1" formatCode="0.00">
                        <c:v>9.4700000000000006</c:v>
                      </c:pt>
                      <c:pt idx="2" formatCode="0.00">
                        <c:v>9.4700000000000006</c:v>
                      </c:pt>
                      <c:pt idx="3" formatCode="0.00">
                        <c:v>9.4700000000000006</c:v>
                      </c:pt>
                      <c:pt idx="4" formatCode="0.00">
                        <c:v>9.4700000000000006</c:v>
                      </c:pt>
                      <c:pt idx="5" formatCode="0.00">
                        <c:v>9.4700000000000006</c:v>
                      </c:pt>
                      <c:pt idx="6" formatCode="0.00">
                        <c:v>9.4700000000000006</c:v>
                      </c:pt>
                      <c:pt idx="7" formatCode="0.00">
                        <c:v>9.4700000000000006</c:v>
                      </c:pt>
                      <c:pt idx="8" formatCode="0.00">
                        <c:v>9.4700000000000006</c:v>
                      </c:pt>
                      <c:pt idx="9" formatCode="0.00">
                        <c:v>9.4700000000000006</c:v>
                      </c:pt>
                      <c:pt idx="10" formatCode="0.00">
                        <c:v>9.4700000000000006</c:v>
                      </c:pt>
                      <c:pt idx="11" formatCode="0.00">
                        <c:v>9.4700000000000006</c:v>
                      </c:pt>
                      <c:pt idx="12" formatCode="0.00">
                        <c:v>9.4700000000000006</c:v>
                      </c:pt>
                      <c:pt idx="13" formatCode="0.00">
                        <c:v>9.4700000000000006</c:v>
                      </c:pt>
                      <c:pt idx="14" formatCode="0.00">
                        <c:v>9.4700000000000006</c:v>
                      </c:pt>
                      <c:pt idx="15" formatCode="0.00">
                        <c:v>9.4700000000000006</c:v>
                      </c:pt>
                      <c:pt idx="16" formatCode="0.00">
                        <c:v>9.4700000000000006</c:v>
                      </c:pt>
                      <c:pt idx="17" formatCode="0.00">
                        <c:v>9.4700000000000006</c:v>
                      </c:pt>
                      <c:pt idx="18" formatCode="0.00">
                        <c:v>9.4700000000000006</c:v>
                      </c:pt>
                      <c:pt idx="19" formatCode="0.00">
                        <c:v>9.4700000000000006</c:v>
                      </c:pt>
                      <c:pt idx="20" formatCode="0.00">
                        <c:v>9.4700000000000006</c:v>
                      </c:pt>
                      <c:pt idx="21" formatCode="0.00">
                        <c:v>9.4700000000000006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34350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31552"/>
        <c:crosses val="autoZero"/>
        <c:auto val="1"/>
        <c:lblAlgn val="ctr"/>
        <c:lblOffset val="100"/>
        <c:noMultiLvlLbl val="0"/>
      </c:catAx>
      <c:valAx>
        <c:axId val="142973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50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TITULO</a:t>
            </a:r>
            <a:r>
              <a:rPr lang="pt-BR" baseline="0"/>
              <a:t> ADQUIRIDO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GRAFICO!$B$4:$AU$4</c15:sqref>
                  </c15:fullRef>
                </c:ext>
              </c:extLst>
              <c:f>(GRAFICO!$E$4,GRAFICO!$G$4,GRAFICO!$I$4,GRAFICO!$K$4,GRAFICO!$M$4,GRAFICO!$O$4,GRAFICO!$Q$4,GRAFICO!$S$4,GRAFICO!$U$4,GRAFICO!$W$4,GRAFICO!$Y$4,GRAFICO!$AA$4,GRAFICO!$AC$4,GRAFICO!$AE$4,GRAFICO!$AG$4,GRAFICO!$AI$4,GRAFICO!$AK$4,GRAFICO!$AM$4,GRAFICO!$AO$4,GRAFICO!$AQ$4,GRAFICO!$AS$4,GRAFICO!$AU$4)</c:f>
              <c:numCache>
                <c:formatCode>m/d/yyyy</c:formatCode>
                <c:ptCount val="22"/>
                <c:pt idx="0" formatCode="&quot;R$&quot;#,##0.00_);[Red]\(&quot;R$&quot;#,##0.00\)">
                  <c:v>1825.37</c:v>
                </c:pt>
                <c:pt idx="1" formatCode="&quot;R$&quot;#,##0.00_);[Red]\(&quot;R$&quot;#,##0.00\)">
                  <c:v>1814.5</c:v>
                </c:pt>
                <c:pt idx="2" formatCode="&quot;R$&quot;#,##0.00_);[Red]\(&quot;R$&quot;#,##0.00\)">
                  <c:v>1800.97</c:v>
                </c:pt>
                <c:pt idx="3" formatCode="&quot;R$&quot;#,##0.00_);[Red]\(&quot;R$&quot;#,##0.00\)">
                  <c:v>1817.76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GRAFICO!$B$5:$AU$5</c15:sqref>
                  </c15:fullRef>
                </c:ext>
              </c:extLst>
              <c:f>(GRAFICO!$E$5,GRAFICO!$G$5,GRAFICO!$I$5,GRAFICO!$K$5,GRAFICO!$M$5,GRAFICO!$O$5,GRAFICO!$Q$5,GRAFICO!$S$5,GRAFICO!$U$5,GRAFICO!$W$5,GRAFICO!$Y$5,GRAFICO!$AA$5,GRAFICO!$AC$5,GRAFICO!$AE$5,GRAFICO!$AG$5,GRAFICO!$AI$5,GRAFICO!$AK$5,GRAFICO!$AM$5,GRAFICO!$AO$5,GRAFICO!$AQ$5,GRAFICO!$AS$5,GRAFICO!$AU$5)</c:f>
              <c:numCache>
                <c:formatCode>m/d/yyyy</c:formatCode>
                <c:ptCount val="22"/>
                <c:pt idx="0" formatCode="&quot;R$&quot;#,##0.00_);[Red]\(&quot;R$&quot;#,##0.00\)">
                  <c:v>1859.12</c:v>
                </c:pt>
                <c:pt idx="1" formatCode="&quot;R$&quot;#,##0.00_);[Red]\(&quot;R$&quot;#,##0.00\)">
                  <c:v>1848.04</c:v>
                </c:pt>
                <c:pt idx="2" formatCode="&quot;R$&quot;#,##0.00_);[Red]\(&quot;R$&quot;#,##0.00\)">
                  <c:v>1834.23</c:v>
                </c:pt>
                <c:pt idx="3" formatCode="&quot;R$&quot;#,##0.00_);[Red]\(&quot;R$&quot;#,##0.00\)">
                  <c:v>1851.34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729920"/>
        <c:axId val="1429735904"/>
      </c:lineChart>
      <c:catAx>
        <c:axId val="14297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35904"/>
        <c:crosses val="autoZero"/>
        <c:auto val="1"/>
        <c:lblAlgn val="ctr"/>
        <c:lblOffset val="100"/>
        <c:noMultiLvlLbl val="0"/>
      </c:catAx>
      <c:valAx>
        <c:axId val="14297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GRAFICO!$B$6:$AU$6</c15:sqref>
                  </c15:fullRef>
                </c:ext>
              </c:extLst>
              <c:f>(GRAFICO!$D$6,GRAFICO!$F$6,GRAFICO!$H$6,GRAFICO!$J$6,GRAFICO!$L$6,GRAFICO!$N$6,GRAFICO!$P$6,GRAFICO!$R$6,GRAFICO!$T$6,GRAFICO!$V$6,GRAFICO!$X$6,GRAFICO!$Z$6,GRAFICO!$AB$6,GRAFICO!$AD$6,GRAFICO!$AF$6,GRAFICO!$AH$6,GRAFICO!$AJ$6,GRAFICO!$AL$6,GRAFICO!$AN$6,GRAFICO!$AP$6,GRAFICO!$AR$6,GRAFICO!$AT$6)</c:f>
              <c:numCache>
                <c:formatCode>m/d/yyyy</c:formatCode>
                <c:ptCount val="22"/>
                <c:pt idx="0" formatCode="0.00">
                  <c:v>9.6199999999999992</c:v>
                </c:pt>
                <c:pt idx="1" formatCode="0.00">
                  <c:v>9.6199999999999992</c:v>
                </c:pt>
                <c:pt idx="2" formatCode="0.00">
                  <c:v>9.6199999999999992</c:v>
                </c:pt>
                <c:pt idx="3" formatCode="0.00">
                  <c:v>9.6199999999999992</c:v>
                </c:pt>
                <c:pt idx="4" formatCode="0.00">
                  <c:v>9.6199999999999992</c:v>
                </c:pt>
                <c:pt idx="5" formatCode="0.00">
                  <c:v>9.6199999999999992</c:v>
                </c:pt>
                <c:pt idx="6" formatCode="0.00">
                  <c:v>9.6199999999999992</c:v>
                </c:pt>
                <c:pt idx="7" formatCode="0.00">
                  <c:v>9.6199999999999992</c:v>
                </c:pt>
                <c:pt idx="8" formatCode="0.00">
                  <c:v>9.6199999999999992</c:v>
                </c:pt>
                <c:pt idx="9" formatCode="0.00">
                  <c:v>9.6199999999999992</c:v>
                </c:pt>
                <c:pt idx="10" formatCode="0.00">
                  <c:v>9.6199999999999992</c:v>
                </c:pt>
                <c:pt idx="11" formatCode="0.00">
                  <c:v>9.6199999999999992</c:v>
                </c:pt>
                <c:pt idx="12" formatCode="0.00">
                  <c:v>9.6199999999999992</c:v>
                </c:pt>
                <c:pt idx="13" formatCode="0.00">
                  <c:v>9.6199999999999992</c:v>
                </c:pt>
                <c:pt idx="14" formatCode="0.00">
                  <c:v>9.6199999999999992</c:v>
                </c:pt>
                <c:pt idx="15" formatCode="0.00">
                  <c:v>9.6199999999999992</c:v>
                </c:pt>
                <c:pt idx="16" formatCode="0.00">
                  <c:v>9.6199999999999992</c:v>
                </c:pt>
                <c:pt idx="17" formatCode="0.00">
                  <c:v>9.6199999999999992</c:v>
                </c:pt>
                <c:pt idx="18" formatCode="0.00">
                  <c:v>9.6199999999999992</c:v>
                </c:pt>
                <c:pt idx="19" formatCode="0.00">
                  <c:v>9.6199999999999992</c:v>
                </c:pt>
                <c:pt idx="20" formatCode="0.00">
                  <c:v>9.6199999999999992</c:v>
                </c:pt>
                <c:pt idx="21" formatCode="0.00">
                  <c:v>9.6199999999999992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GRAFICO!$B$7:$AU$7</c15:sqref>
                  </c15:fullRef>
                </c:ext>
              </c:extLst>
              <c:f>(GRAFICO!$D$7,GRAFICO!$F$7,GRAFICO!$H$7,GRAFICO!$J$7,GRAFICO!$L$7,GRAFICO!$N$7,GRAFICO!$P$7,GRAFICO!$R$7,GRAFICO!$T$7,GRAFICO!$V$7,GRAFICO!$X$7,GRAFICO!$Z$7,GRAFICO!$AB$7,GRAFICO!$AD$7,GRAFICO!$AF$7,GRAFICO!$AH$7,GRAFICO!$AJ$7,GRAFICO!$AL$7,GRAFICO!$AN$7,GRAFICO!$AP$7,GRAFICO!$AR$7,GRAFICO!$AT$7)</c:f>
              <c:numCache>
                <c:formatCode>m/d/yyyy</c:formatCode>
                <c:ptCount val="22"/>
                <c:pt idx="0" formatCode="0.00">
                  <c:v>9.4700000000000006</c:v>
                </c:pt>
                <c:pt idx="1" formatCode="0.00">
                  <c:v>9.4700000000000006</c:v>
                </c:pt>
                <c:pt idx="2" formatCode="0.00">
                  <c:v>9.4700000000000006</c:v>
                </c:pt>
                <c:pt idx="3" formatCode="0.00">
                  <c:v>9.4700000000000006</c:v>
                </c:pt>
                <c:pt idx="4" formatCode="0.00">
                  <c:v>9.4700000000000006</c:v>
                </c:pt>
                <c:pt idx="5" formatCode="0.00">
                  <c:v>9.4700000000000006</c:v>
                </c:pt>
                <c:pt idx="6" formatCode="0.00">
                  <c:v>9.4700000000000006</c:v>
                </c:pt>
                <c:pt idx="7" formatCode="0.00">
                  <c:v>9.4700000000000006</c:v>
                </c:pt>
                <c:pt idx="8" formatCode="0.00">
                  <c:v>9.4700000000000006</c:v>
                </c:pt>
                <c:pt idx="9" formatCode="0.00">
                  <c:v>9.4700000000000006</c:v>
                </c:pt>
                <c:pt idx="10" formatCode="0.00">
                  <c:v>9.4700000000000006</c:v>
                </c:pt>
                <c:pt idx="11" formatCode="0.00">
                  <c:v>9.4700000000000006</c:v>
                </c:pt>
                <c:pt idx="12" formatCode="0.00">
                  <c:v>9.4700000000000006</c:v>
                </c:pt>
                <c:pt idx="13" formatCode="0.00">
                  <c:v>9.4700000000000006</c:v>
                </c:pt>
                <c:pt idx="14" formatCode="0.00">
                  <c:v>9.4700000000000006</c:v>
                </c:pt>
                <c:pt idx="15" formatCode="0.00">
                  <c:v>9.4700000000000006</c:v>
                </c:pt>
                <c:pt idx="16" formatCode="0.00">
                  <c:v>9.4700000000000006</c:v>
                </c:pt>
                <c:pt idx="17" formatCode="0.00">
                  <c:v>9.4700000000000006</c:v>
                </c:pt>
                <c:pt idx="18" formatCode="0.00">
                  <c:v>9.4700000000000006</c:v>
                </c:pt>
                <c:pt idx="19" formatCode="0.00">
                  <c:v>9.4700000000000006</c:v>
                </c:pt>
                <c:pt idx="20" formatCode="0.00">
                  <c:v>9.4700000000000006</c:v>
                </c:pt>
                <c:pt idx="21" formatCode="0.00">
                  <c:v>9.4700000000000006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730464"/>
        <c:axId val="1429729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GRAFICO!$B$4:$AU$4</c15:sqref>
                        </c15:fullRef>
                        <c15:formulaRef>
                          <c15:sqref>(GRAFICO!$D$4,GRAFICO!$F$4,GRAFICO!$H$4,GRAFICO!$J$4,GRAFICO!$L$4,GRAFICO!$N$4,GRAFICO!$P$4,GRAFICO!$R$4,GRAFICO!$T$4,GRAFICO!$V$4,GRAFICO!$X$4,GRAFICO!$Z$4,GRAFICO!$AB$4,GRAFICO!$AD$4,GRAFICO!$AF$4,GRAFICO!$AH$4,GRAFICO!$AJ$4,GRAFICO!$AL$4,GRAFICO!$AN$4,GRAFICO!$AP$4,GRAFICO!$AR$4,GRAFICO!$AT$4)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General">
                        <c:v>3.67</c:v>
                      </c:pt>
                      <c:pt idx="1" formatCode="General">
                        <c:v>3.71</c:v>
                      </c:pt>
                      <c:pt idx="2" formatCode="General">
                        <c:v>3.76</c:v>
                      </c:pt>
                      <c:pt idx="3" formatCode="General">
                        <c:v>3.7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GRAFICO!$B$5:$AU$5</c15:sqref>
                        </c15:fullRef>
                        <c15:formulaRef>
                          <c15:sqref>(GRAFICO!$D$5,GRAFICO!$F$5,GRAFICO!$H$5,GRAFICO!$J$5,GRAFICO!$L$5,GRAFICO!$N$5,GRAFICO!$P$5,GRAFICO!$R$5,GRAFICO!$T$5,GRAFICO!$V$5,GRAFICO!$X$5,GRAFICO!$Z$5,GRAFICO!$AB$5,GRAFICO!$AD$5,GRAFICO!$AF$5,GRAFICO!$AH$5,GRAFICO!$AJ$5,GRAFICO!$AL$5,GRAFICO!$AN$5,GRAFICO!$AP$5,GRAFICO!$AR$5,GRAFICO!$AT$5)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General">
                        <c:v>3.55</c:v>
                      </c:pt>
                      <c:pt idx="1" formatCode="General">
                        <c:v>3.59</c:v>
                      </c:pt>
                      <c:pt idx="2" formatCode="General">
                        <c:v>3.64</c:v>
                      </c:pt>
                      <c:pt idx="3" formatCode="General">
                        <c:v>3.58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297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29376"/>
        <c:crosses val="autoZero"/>
        <c:auto val="1"/>
        <c:lblAlgn val="ctr"/>
        <c:lblOffset val="100"/>
        <c:noMultiLvlLbl val="0"/>
      </c:catAx>
      <c:valAx>
        <c:axId val="14297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GRAFICO!$B$6:$AU$6</c15:sqref>
                  </c15:fullRef>
                </c:ext>
              </c:extLst>
              <c:f>(GRAFICO!$E$6,GRAFICO!$G$6,GRAFICO!$I$6,GRAFICO!$K$6,GRAFICO!$M$6,GRAFICO!$O$6,GRAFICO!$Q$6,GRAFICO!$S$6,GRAFICO!$U$6,GRAFICO!$W$6,GRAFICO!$Y$6,GRAFICO!$AA$6,GRAFICO!$AC$6,GRAFICO!$AE$6,GRAFICO!$AG$6,GRAFICO!$AI$6,GRAFICO!$AK$6,GRAFICO!$AM$6,GRAFICO!$AO$6,GRAFICO!$AQ$6,GRAFICO!$AS$6,GRAFICO!$AU$6)</c:f>
              <c:numCache>
                <c:formatCode>m/d/yyyy</c:formatCode>
                <c:ptCount val="22"/>
                <c:pt idx="0" formatCode="_(&quot;R$&quot;* #,##0.00_);_(&quot;R$&quot;* \(#,##0.00\);_(&quot;R$&quot;* &quot;-&quot;??_);_(@_)">
                  <c:v>1.85</c:v>
                </c:pt>
                <c:pt idx="1" formatCode="_(&quot;R$&quot;* #,##0.00_);_(&quot;R$&quot;* \(#,##0.00\);_(&quot;R$&quot;* &quot;-&quot;??_);_(@_)">
                  <c:v>1.85</c:v>
                </c:pt>
                <c:pt idx="2" formatCode="_(&quot;R$&quot;* #,##0.00_);_(&quot;R$&quot;* \(#,##0.00\);_(&quot;R$&quot;* &quot;-&quot;??_);_(@_)">
                  <c:v>1.85</c:v>
                </c:pt>
                <c:pt idx="3" formatCode="_(&quot;R$&quot;* #,##0.00_);_(&quot;R$&quot;* \(#,##0.00\);_(&quot;R$&quot;* &quot;-&quot;??_);_(@_)">
                  <c:v>1.85</c:v>
                </c:pt>
                <c:pt idx="4" formatCode="_(&quot;R$&quot;* #,##0.00_);_(&quot;R$&quot;* \(#,##0.00\);_(&quot;R$&quot;* &quot;-&quot;??_);_(@_)">
                  <c:v>1.85</c:v>
                </c:pt>
                <c:pt idx="5" formatCode="_(&quot;R$&quot;* #,##0.00_);_(&quot;R$&quot;* \(#,##0.00\);_(&quot;R$&quot;* &quot;-&quot;??_);_(@_)">
                  <c:v>1.85</c:v>
                </c:pt>
                <c:pt idx="6" formatCode="_(&quot;R$&quot;* #,##0.00_);_(&quot;R$&quot;* \(#,##0.00\);_(&quot;R$&quot;* &quot;-&quot;??_);_(@_)">
                  <c:v>1.85</c:v>
                </c:pt>
                <c:pt idx="7" formatCode="_(&quot;R$&quot;* #,##0.00_);_(&quot;R$&quot;* \(#,##0.00\);_(&quot;R$&quot;* &quot;-&quot;??_);_(@_)">
                  <c:v>1.85</c:v>
                </c:pt>
                <c:pt idx="8" formatCode="_(&quot;R$&quot;* #,##0.00_);_(&quot;R$&quot;* \(#,##0.00\);_(&quot;R$&quot;* &quot;-&quot;??_);_(@_)">
                  <c:v>1.85</c:v>
                </c:pt>
                <c:pt idx="9" formatCode="_(&quot;R$&quot;* #,##0.00_);_(&quot;R$&quot;* \(#,##0.00\);_(&quot;R$&quot;* &quot;-&quot;??_);_(@_)">
                  <c:v>1.85</c:v>
                </c:pt>
                <c:pt idx="10" formatCode="_(&quot;R$&quot;* #,##0.00_);_(&quot;R$&quot;* \(#,##0.00\);_(&quot;R$&quot;* &quot;-&quot;??_);_(@_)">
                  <c:v>1.85</c:v>
                </c:pt>
                <c:pt idx="11" formatCode="_(&quot;R$&quot;* #,##0.00_);_(&quot;R$&quot;* \(#,##0.00\);_(&quot;R$&quot;* &quot;-&quot;??_);_(@_)">
                  <c:v>1.85</c:v>
                </c:pt>
                <c:pt idx="12" formatCode="_(&quot;R$&quot;* #,##0.00_);_(&quot;R$&quot;* \(#,##0.00\);_(&quot;R$&quot;* &quot;-&quot;??_);_(@_)">
                  <c:v>1.85</c:v>
                </c:pt>
                <c:pt idx="13" formatCode="_(&quot;R$&quot;* #,##0.00_);_(&quot;R$&quot;* \(#,##0.00\);_(&quot;R$&quot;* &quot;-&quot;??_);_(@_)">
                  <c:v>1.85</c:v>
                </c:pt>
                <c:pt idx="14" formatCode="_(&quot;R$&quot;* #,##0.00_);_(&quot;R$&quot;* \(#,##0.00\);_(&quot;R$&quot;* &quot;-&quot;??_);_(@_)">
                  <c:v>1.85</c:v>
                </c:pt>
                <c:pt idx="15" formatCode="_(&quot;R$&quot;* #,##0.00_);_(&quot;R$&quot;* \(#,##0.00\);_(&quot;R$&quot;* &quot;-&quot;??_);_(@_)">
                  <c:v>1.85</c:v>
                </c:pt>
                <c:pt idx="16" formatCode="_(&quot;R$&quot;* #,##0.00_);_(&quot;R$&quot;* \(#,##0.00\);_(&quot;R$&quot;* &quot;-&quot;??_);_(@_)">
                  <c:v>1.85</c:v>
                </c:pt>
                <c:pt idx="17" formatCode="_(&quot;R$&quot;* #,##0.00_);_(&quot;R$&quot;* \(#,##0.00\);_(&quot;R$&quot;* &quot;-&quot;??_);_(@_)">
                  <c:v>1.85</c:v>
                </c:pt>
                <c:pt idx="18" formatCode="_(&quot;R$&quot;* #,##0.00_);_(&quot;R$&quot;* \(#,##0.00\);_(&quot;R$&quot;* &quot;-&quot;??_);_(@_)">
                  <c:v>1.85</c:v>
                </c:pt>
                <c:pt idx="19" formatCode="_(&quot;R$&quot;* #,##0.00_);_(&quot;R$&quot;* \(#,##0.00\);_(&quot;R$&quot;* &quot;-&quot;??_);_(@_)">
                  <c:v>1.85</c:v>
                </c:pt>
                <c:pt idx="20" formatCode="_(&quot;R$&quot;* #,##0.00_);_(&quot;R$&quot;* \(#,##0.00\);_(&quot;R$&quot;* &quot;-&quot;??_);_(@_)">
                  <c:v>1.85</c:v>
                </c:pt>
                <c:pt idx="21" formatCode="_(&quot;R$&quot;* #,##0.00_);_(&quot;R$&quot;* \(#,##0.00\);_(&quot;R$&quot;* &quot;-&quot;??_);_(@_)">
                  <c:v>1.85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01/07</c:v>
                  </c:pt>
                  <c:pt idx="1">
                    <c:v>02/07</c:v>
                  </c:pt>
                  <c:pt idx="2">
                    <c:v>03/07</c:v>
                  </c:pt>
                  <c:pt idx="3">
                    <c:v>04/07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GRAFICO!$B$7:$AU$7</c15:sqref>
                  </c15:fullRef>
                </c:ext>
              </c:extLst>
              <c:f>(GRAFICO!$E$7,GRAFICO!$G$7,GRAFICO!$I$7,GRAFICO!$K$7,GRAFICO!$M$7,GRAFICO!$O$7,GRAFICO!$Q$7,GRAFICO!$S$7,GRAFICO!$U$7,GRAFICO!$W$7,GRAFICO!$Y$7,GRAFICO!$AA$7,GRAFICO!$AC$7,GRAFICO!$AE$7,GRAFICO!$AG$7,GRAFICO!$AI$7,GRAFICO!$AK$7,GRAFICO!$AM$7,GRAFICO!$AO$7,GRAFICO!$AQ$7,GRAFICO!$AS$7,GRAFICO!$AU$7)</c:f>
              <c:numCache>
                <c:formatCode>m/d/yyyy</c:formatCode>
                <c:ptCount val="22"/>
                <c:pt idx="0" formatCode="_(&quot;R$&quot;* #,##0.00_);_(&quot;R$&quot;* \(#,##0.00\);_(&quot;R$&quot;* &quot;-&quot;??_);_(@_)">
                  <c:v>1.8</c:v>
                </c:pt>
                <c:pt idx="1" formatCode="_(&quot;R$&quot;* #,##0.00_);_(&quot;R$&quot;* \(#,##0.00\);_(&quot;R$&quot;* &quot;-&quot;??_);_(@_)">
                  <c:v>1.8</c:v>
                </c:pt>
                <c:pt idx="2" formatCode="_(&quot;R$&quot;* #,##0.00_);_(&quot;R$&quot;* \(#,##0.00\);_(&quot;R$&quot;* &quot;-&quot;??_);_(@_)">
                  <c:v>1.8</c:v>
                </c:pt>
                <c:pt idx="3" formatCode="_(&quot;R$&quot;* #,##0.00_);_(&quot;R$&quot;* \(#,##0.00\);_(&quot;R$&quot;* &quot;-&quot;??_);_(@_)">
                  <c:v>1.8</c:v>
                </c:pt>
                <c:pt idx="4" formatCode="_(&quot;R$&quot;* #,##0.00_);_(&quot;R$&quot;* \(#,##0.00\);_(&quot;R$&quot;* &quot;-&quot;??_);_(@_)">
                  <c:v>1.8</c:v>
                </c:pt>
                <c:pt idx="5" formatCode="_(&quot;R$&quot;* #,##0.00_);_(&quot;R$&quot;* \(#,##0.00\);_(&quot;R$&quot;* &quot;-&quot;??_);_(@_)">
                  <c:v>1.8</c:v>
                </c:pt>
                <c:pt idx="6" formatCode="_(&quot;R$&quot;* #,##0.00_);_(&quot;R$&quot;* \(#,##0.00\);_(&quot;R$&quot;* &quot;-&quot;??_);_(@_)">
                  <c:v>1.8</c:v>
                </c:pt>
                <c:pt idx="7" formatCode="_(&quot;R$&quot;* #,##0.00_);_(&quot;R$&quot;* \(#,##0.00\);_(&quot;R$&quot;* &quot;-&quot;??_);_(@_)">
                  <c:v>1.8</c:v>
                </c:pt>
                <c:pt idx="8" formatCode="_(&quot;R$&quot;* #,##0.00_);_(&quot;R$&quot;* \(#,##0.00\);_(&quot;R$&quot;* &quot;-&quot;??_);_(@_)">
                  <c:v>1.8</c:v>
                </c:pt>
                <c:pt idx="9" formatCode="_(&quot;R$&quot;* #,##0.00_);_(&quot;R$&quot;* \(#,##0.00\);_(&quot;R$&quot;* &quot;-&quot;??_);_(@_)">
                  <c:v>1.8</c:v>
                </c:pt>
                <c:pt idx="10" formatCode="_(&quot;R$&quot;* #,##0.00_);_(&quot;R$&quot;* \(#,##0.00\);_(&quot;R$&quot;* &quot;-&quot;??_);_(@_)">
                  <c:v>1.8</c:v>
                </c:pt>
                <c:pt idx="11" formatCode="_(&quot;R$&quot;* #,##0.00_);_(&quot;R$&quot;* \(#,##0.00\);_(&quot;R$&quot;* &quot;-&quot;??_);_(@_)">
                  <c:v>1.8</c:v>
                </c:pt>
                <c:pt idx="12" formatCode="_(&quot;R$&quot;* #,##0.00_);_(&quot;R$&quot;* \(#,##0.00\);_(&quot;R$&quot;* &quot;-&quot;??_);_(@_)">
                  <c:v>1.8</c:v>
                </c:pt>
                <c:pt idx="13" formatCode="_(&quot;R$&quot;* #,##0.00_);_(&quot;R$&quot;* \(#,##0.00\);_(&quot;R$&quot;* &quot;-&quot;??_);_(@_)">
                  <c:v>1.8</c:v>
                </c:pt>
                <c:pt idx="14" formatCode="_(&quot;R$&quot;* #,##0.00_);_(&quot;R$&quot;* \(#,##0.00\);_(&quot;R$&quot;* &quot;-&quot;??_);_(@_)">
                  <c:v>1.8</c:v>
                </c:pt>
                <c:pt idx="15" formatCode="_(&quot;R$&quot;* #,##0.00_);_(&quot;R$&quot;* \(#,##0.00\);_(&quot;R$&quot;* &quot;-&quot;??_);_(@_)">
                  <c:v>1.8</c:v>
                </c:pt>
                <c:pt idx="16" formatCode="_(&quot;R$&quot;* #,##0.00_);_(&quot;R$&quot;* \(#,##0.00\);_(&quot;R$&quot;* &quot;-&quot;??_);_(@_)">
                  <c:v>1.8</c:v>
                </c:pt>
                <c:pt idx="17" formatCode="_(&quot;R$&quot;* #,##0.00_);_(&quot;R$&quot;* \(#,##0.00\);_(&quot;R$&quot;* &quot;-&quot;??_);_(@_)">
                  <c:v>1.8</c:v>
                </c:pt>
                <c:pt idx="18" formatCode="_(&quot;R$&quot;* #,##0.00_);_(&quot;R$&quot;* \(#,##0.00\);_(&quot;R$&quot;* &quot;-&quot;??_);_(@_)">
                  <c:v>1.8</c:v>
                </c:pt>
                <c:pt idx="19" formatCode="_(&quot;R$&quot;* #,##0.00_);_(&quot;R$&quot;* \(#,##0.00\);_(&quot;R$&quot;* &quot;-&quot;??_);_(@_)">
                  <c:v>1.8</c:v>
                </c:pt>
                <c:pt idx="20" formatCode="_(&quot;R$&quot;* #,##0.00_);_(&quot;R$&quot;* \(#,##0.00\);_(&quot;R$&quot;* &quot;-&quot;??_);_(@_)">
                  <c:v>1.8</c:v>
                </c:pt>
                <c:pt idx="21" formatCode="_(&quot;R$&quot;* #,##0.00_);_(&quot;R$&quot;* \(#,##0.00\);_(&quot;R$&quot;* &quot;-&quot;??_);_(@_)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732096"/>
        <c:axId val="1429743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  <c:pt idx="19">
                          <c:v>Preço Unitário</c:v>
                        </c:pt>
                        <c:pt idx="20">
                          <c:v>Preço Unitário</c:v>
                        </c:pt>
                        <c:pt idx="21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GRAFICO!$B$4:$AU$4</c15:sqref>
                        </c15:fullRef>
                        <c15:formulaRef>
                          <c15:sqref>(GRAFICO!$E$4,GRAFICO!$G$4,GRAFICO!$I$4,GRAFICO!$K$4,GRAFICO!$M$4,GRAFICO!$O$4,GRAFICO!$Q$4,GRAFICO!$S$4,GRAFICO!$U$4,GRAFICO!$W$4,GRAFICO!$Y$4,GRAFICO!$AA$4,GRAFICO!$AC$4,GRAFICO!$AE$4,GRAFICO!$AG$4,GRAFICO!$AI$4,GRAFICO!$AK$4,GRAFICO!$AM$4,GRAFICO!$AO$4,GRAFICO!$AQ$4,GRAFICO!$AS$4,GRAFICO!$AU$4)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&quot;R$&quot;#,##0.00_);[Red]\(&quot;R$&quot;#,##0.00\)">
                        <c:v>1825.37</c:v>
                      </c:pt>
                      <c:pt idx="1" formatCode="&quot;R$&quot;#,##0.00_);[Red]\(&quot;R$&quot;#,##0.00\)">
                        <c:v>1814.5</c:v>
                      </c:pt>
                      <c:pt idx="2" formatCode="&quot;R$&quot;#,##0.00_);[Red]\(&quot;R$&quot;#,##0.00\)">
                        <c:v>1800.97</c:v>
                      </c:pt>
                      <c:pt idx="3" formatCode="&quot;R$&quot;#,##0.00_);[Red]\(&quot;R$&quot;#,##0.00\)">
                        <c:v>1817.76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  <c:pt idx="2">
                          <c:v>03/07</c:v>
                        </c:pt>
                        <c:pt idx="3">
                          <c:v>04/07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  <c:pt idx="19">
                          <c:v>Preço Unitário</c:v>
                        </c:pt>
                        <c:pt idx="20">
                          <c:v>Preço Unitário</c:v>
                        </c:pt>
                        <c:pt idx="21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GRAFICO!$B$5:$AU$5</c15:sqref>
                        </c15:fullRef>
                        <c15:formulaRef>
                          <c15:sqref>(GRAFICO!$E$5,GRAFICO!$G$5,GRAFICO!$I$5,GRAFICO!$K$5,GRAFICO!$M$5,GRAFICO!$O$5,GRAFICO!$Q$5,GRAFICO!$S$5,GRAFICO!$U$5,GRAFICO!$W$5,GRAFICO!$Y$5,GRAFICO!$AA$5,GRAFICO!$AC$5,GRAFICO!$AE$5,GRAFICO!$AG$5,GRAFICO!$AI$5,GRAFICO!$AK$5,GRAFICO!$AM$5,GRAFICO!$AO$5,GRAFICO!$AQ$5,GRAFICO!$AS$5,GRAFICO!$AU$5)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&quot;R$&quot;#,##0.00_);[Red]\(&quot;R$&quot;#,##0.00\)">
                        <c:v>1859.12</c:v>
                      </c:pt>
                      <c:pt idx="1" formatCode="&quot;R$&quot;#,##0.00_);[Red]\(&quot;R$&quot;#,##0.00\)">
                        <c:v>1848.04</c:v>
                      </c:pt>
                      <c:pt idx="2" formatCode="&quot;R$&quot;#,##0.00_);[Red]\(&quot;R$&quot;#,##0.00\)">
                        <c:v>1834.23</c:v>
                      </c:pt>
                      <c:pt idx="3" formatCode="&quot;R$&quot;#,##0.00_);[Red]\(&quot;R$&quot;#,##0.00\)">
                        <c:v>1851.34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297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43520"/>
        <c:crosses val="autoZero"/>
        <c:auto val="1"/>
        <c:lblAlgn val="ctr"/>
        <c:lblOffset val="100"/>
        <c:noMultiLvlLbl val="0"/>
      </c:catAx>
      <c:valAx>
        <c:axId val="142974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3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128587</xdr:rowOff>
    </xdr:from>
    <xdr:to>
      <xdr:col>9</xdr:col>
      <xdr:colOff>1581150</xdr:colOff>
      <xdr:row>22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14287</xdr:rowOff>
    </xdr:from>
    <xdr:to>
      <xdr:col>9</xdr:col>
      <xdr:colOff>1581150</xdr:colOff>
      <xdr:row>37</xdr:row>
      <xdr:rowOff>90487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1924048</xdr:colOff>
      <xdr:row>8</xdr:row>
      <xdr:rowOff>4762</xdr:rowOff>
    </xdr:from>
    <xdr:to>
      <xdr:col>20</xdr:col>
      <xdr:colOff>809624</xdr:colOff>
      <xdr:row>22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24</xdr:row>
      <xdr:rowOff>14287</xdr:rowOff>
    </xdr:from>
    <xdr:to>
      <xdr:col>19</xdr:col>
      <xdr:colOff>9524</xdr:colOff>
      <xdr:row>38</xdr:row>
      <xdr:rowOff>90487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Comp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Vend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ITULO%20COMPRADO%20-%20LIVIO%20-%2006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ITULO%20COMPRADO%20-%20LIV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SELIC"/>
    </sheetNames>
    <sheetDataSet>
      <sheetData sheetId="0">
        <row r="4">
          <cell r="A4" t="str">
            <v>Tesouro IPCA+ 2035</v>
          </cell>
          <cell r="C4">
            <v>4.4400000000000004</v>
          </cell>
          <cell r="E4">
            <v>1607.16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PREFIXADOS JUROS SEM."/>
      <sheetName val="TESOURO SELIC"/>
      <sheetName val="TESOURO IGP-M"/>
    </sheetNames>
    <sheetDataSet>
      <sheetData sheetId="0">
        <row r="5">
          <cell r="C5">
            <v>4.5599999999999996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GRAFICO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GRAFICO"/>
    </sheetNames>
    <sheetDataSet>
      <sheetData sheetId="0"/>
      <sheetData sheetId="1">
        <row r="6">
          <cell r="B6">
            <v>402.57409593698634</v>
          </cell>
        </row>
        <row r="7">
          <cell r="B7">
            <v>401.79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9" sqref="H9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11.85546875" bestFit="1" customWidth="1"/>
    <col min="5" max="5" width="24.85546875" style="9" bestFit="1" customWidth="1"/>
    <col min="6" max="6" width="26.42578125" customWidth="1"/>
    <col min="7" max="7" width="23.140625" style="12" bestFit="1" customWidth="1"/>
    <col min="8" max="8" width="21.42578125" bestFit="1" customWidth="1"/>
  </cols>
  <sheetData>
    <row r="1" spans="1:8" x14ac:dyDescent="0.25">
      <c r="A1" t="s">
        <v>4</v>
      </c>
      <c r="B1" s="1" t="s">
        <v>0</v>
      </c>
      <c r="C1" s="1" t="s">
        <v>1</v>
      </c>
      <c r="D1" s="1" t="s">
        <v>2</v>
      </c>
      <c r="E1" s="7" t="s">
        <v>6</v>
      </c>
      <c r="F1" s="1" t="s">
        <v>3</v>
      </c>
      <c r="G1" s="10" t="s">
        <v>7</v>
      </c>
      <c r="H1" s="5" t="s">
        <v>5</v>
      </c>
    </row>
    <row r="2" spans="1:8" x14ac:dyDescent="0.25">
      <c r="A2" t="str">
        <f>'[1]020519'!$A$4</f>
        <v>Tesouro IPCA+ 2035</v>
      </c>
      <c r="B2" s="4">
        <v>43587</v>
      </c>
      <c r="C2" s="2">
        <v>401.79</v>
      </c>
      <c r="D2" s="3">
        <v>0.25</v>
      </c>
      <c r="E2" s="8">
        <f>'[1]020519'!$C$4</f>
        <v>4.4400000000000004</v>
      </c>
      <c r="F2" s="2">
        <f>'[1]020519'!$E$4</f>
        <v>1607.16</v>
      </c>
      <c r="G2" s="11">
        <f>'[2]020519'!$C$5</f>
        <v>4.5599999999999996</v>
      </c>
      <c r="H2" s="6">
        <f>GRAFICO!AC4</f>
        <v>0</v>
      </c>
    </row>
    <row r="6" spans="1:8" x14ac:dyDescent="0.25">
      <c r="A6" t="s">
        <v>19</v>
      </c>
      <c r="B6" t="s">
        <v>10</v>
      </c>
      <c r="C6" t="s">
        <v>20</v>
      </c>
      <c r="D6" t="s">
        <v>25</v>
      </c>
      <c r="E6" t="s">
        <v>21</v>
      </c>
      <c r="F6" t="s">
        <v>22</v>
      </c>
      <c r="G6" t="s">
        <v>23</v>
      </c>
      <c r="H6" t="s">
        <v>24</v>
      </c>
    </row>
    <row r="7" spans="1:8" x14ac:dyDescent="0.25">
      <c r="A7" t="s">
        <v>18</v>
      </c>
      <c r="B7" s="47">
        <v>49444</v>
      </c>
      <c r="C7">
        <v>2.11</v>
      </c>
      <c r="D7">
        <v>0.1</v>
      </c>
      <c r="E7">
        <v>11.17</v>
      </c>
      <c r="F7">
        <v>24.7</v>
      </c>
      <c r="G7">
        <v>4.1399999999999997</v>
      </c>
      <c r="H7">
        <v>4.26</v>
      </c>
    </row>
    <row r="8" spans="1:8" x14ac:dyDescent="0.25">
      <c r="C8" s="6">
        <f>((C2*C7)/100)+C2</f>
        <v>410.26776900000004</v>
      </c>
      <c r="D8" s="6">
        <f>((C2*D7)/100)+C2</f>
        <v>402.19179000000003</v>
      </c>
      <c r="E8" s="36">
        <f>((C2*E7)/100)+C2</f>
        <v>446.66994300000005</v>
      </c>
      <c r="F8" s="6">
        <f>((C2*F7)/100)+C2</f>
        <v>501.03213000000005</v>
      </c>
      <c r="G8" s="12">
        <f>E2-G7</f>
        <v>0.30000000000000071</v>
      </c>
      <c r="H8">
        <f>G2-H7</f>
        <v>0.29999999999999982</v>
      </c>
    </row>
    <row r="10" spans="1:8" x14ac:dyDescent="0.25">
      <c r="D10" s="37"/>
    </row>
    <row r="11" spans="1:8" x14ac:dyDescent="0.25">
      <c r="D11" s="12"/>
      <c r="E11" s="3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O11"/>
  <sheetViews>
    <sheetView tabSelected="1" topLeftCell="I1" workbookViewId="0">
      <selection activeCell="J4" sqref="J4"/>
    </sheetView>
  </sheetViews>
  <sheetFormatPr defaultRowHeight="15" x14ac:dyDescent="0.25"/>
  <cols>
    <col min="1" max="1" width="15.5703125" bestFit="1" customWidth="1"/>
    <col min="2" max="2" width="18.42578125" bestFit="1" customWidth="1"/>
    <col min="3" max="3" width="11.85546875" bestFit="1" customWidth="1"/>
    <col min="4" max="4" width="28.85546875" bestFit="1" customWidth="1"/>
    <col min="5" max="5" width="14.42578125" bestFit="1" customWidth="1"/>
    <col min="6" max="6" width="28.85546875" bestFit="1" customWidth="1"/>
    <col min="7" max="7" width="14.42578125" bestFit="1" customWidth="1"/>
    <col min="8" max="8" width="28.85546875" bestFit="1" customWidth="1"/>
    <col min="9" max="9" width="14.42578125" bestFit="1" customWidth="1"/>
    <col min="10" max="10" width="28.85546875" bestFit="1" customWidth="1"/>
    <col min="11" max="11" width="14.42578125" bestFit="1" customWidth="1"/>
    <col min="12" max="12" width="28.85546875" bestFit="1" customWidth="1"/>
    <col min="13" max="13" width="14.42578125" bestFit="1" customWidth="1"/>
    <col min="14" max="14" width="28.85546875" bestFit="1" customWidth="1"/>
    <col min="15" max="15" width="14.42578125" bestFit="1" customWidth="1"/>
    <col min="16" max="16" width="28.85546875" bestFit="1" customWidth="1"/>
    <col min="17" max="17" width="14.42578125" bestFit="1" customWidth="1"/>
    <col min="18" max="18" width="28.85546875" bestFit="1" customWidth="1"/>
    <col min="19" max="19" width="14.42578125" bestFit="1" customWidth="1"/>
    <col min="20" max="20" width="28.85546875" bestFit="1" customWidth="1"/>
    <col min="21" max="21" width="14.42578125" bestFit="1" customWidth="1"/>
    <col min="22" max="22" width="28.85546875" bestFit="1" customWidth="1"/>
    <col min="23" max="23" width="14.42578125" bestFit="1" customWidth="1"/>
    <col min="24" max="24" width="28.85546875" bestFit="1" customWidth="1"/>
    <col min="25" max="25" width="14.42578125" bestFit="1" customWidth="1"/>
    <col min="26" max="26" width="28.85546875" bestFit="1" customWidth="1"/>
    <col min="27" max="27" width="14.42578125" bestFit="1" customWidth="1"/>
    <col min="28" max="28" width="28.85546875" bestFit="1" customWidth="1"/>
    <col min="29" max="29" width="14.42578125" bestFit="1" customWidth="1"/>
    <col min="30" max="30" width="28.85546875" bestFit="1" customWidth="1"/>
    <col min="31" max="31" width="14.42578125" bestFit="1" customWidth="1"/>
    <col min="32" max="32" width="28.85546875" style="40" bestFit="1" customWidth="1"/>
    <col min="33" max="33" width="14.42578125" style="40" bestFit="1" customWidth="1"/>
    <col min="34" max="34" width="28.85546875" style="40" bestFit="1" customWidth="1"/>
    <col min="35" max="35" width="14.42578125" style="40" bestFit="1" customWidth="1"/>
    <col min="36" max="36" width="28.85546875" style="40" bestFit="1" customWidth="1"/>
    <col min="37" max="37" width="14.42578125" style="40" bestFit="1" customWidth="1"/>
    <col min="38" max="38" width="28.85546875" style="40" bestFit="1" customWidth="1"/>
    <col min="39" max="39" width="14.42578125" style="40" bestFit="1" customWidth="1"/>
    <col min="40" max="40" width="28.85546875" style="40" bestFit="1" customWidth="1"/>
    <col min="41" max="41" width="14.42578125" style="40" bestFit="1" customWidth="1"/>
    <col min="42" max="42" width="28.85546875" style="40" bestFit="1" customWidth="1"/>
    <col min="43" max="43" width="14.42578125" style="40" bestFit="1" customWidth="1"/>
    <col min="44" max="44" width="28.85546875" style="40" bestFit="1" customWidth="1"/>
    <col min="45" max="45" width="14.42578125" style="40" bestFit="1" customWidth="1"/>
    <col min="46" max="46" width="28.85546875" style="40" bestFit="1" customWidth="1"/>
    <col min="47" max="47" width="14.42578125" style="40" bestFit="1" customWidth="1"/>
    <col min="48" max="119" width="9.140625" style="40"/>
  </cols>
  <sheetData>
    <row r="2" spans="1:119" s="16" customFormat="1" ht="15.75" customHeight="1" x14ac:dyDescent="0.25">
      <c r="B2" s="17" t="s">
        <v>9</v>
      </c>
      <c r="C2" s="18" t="s">
        <v>10</v>
      </c>
      <c r="D2" s="18" t="s">
        <v>11</v>
      </c>
      <c r="E2" s="18" t="s">
        <v>12</v>
      </c>
      <c r="F2" s="54" t="s">
        <v>11</v>
      </c>
      <c r="G2" s="54" t="s">
        <v>12</v>
      </c>
      <c r="H2" s="18" t="s">
        <v>11</v>
      </c>
      <c r="I2" s="18" t="s">
        <v>12</v>
      </c>
      <c r="J2" s="18" t="s">
        <v>11</v>
      </c>
      <c r="K2" s="18" t="s">
        <v>12</v>
      </c>
      <c r="L2" s="19" t="s">
        <v>11</v>
      </c>
      <c r="M2" s="19" t="s">
        <v>12</v>
      </c>
      <c r="N2" s="19" t="s">
        <v>11</v>
      </c>
      <c r="O2" s="19" t="s">
        <v>12</v>
      </c>
      <c r="P2" s="19" t="s">
        <v>11</v>
      </c>
      <c r="Q2" s="19" t="s">
        <v>12</v>
      </c>
      <c r="R2" s="19" t="s">
        <v>11</v>
      </c>
      <c r="S2" s="19" t="s">
        <v>12</v>
      </c>
      <c r="T2" s="19" t="s">
        <v>11</v>
      </c>
      <c r="U2" s="19" t="s">
        <v>12</v>
      </c>
      <c r="V2" s="19" t="s">
        <v>11</v>
      </c>
      <c r="W2" s="19" t="s">
        <v>12</v>
      </c>
      <c r="X2" s="19" t="s">
        <v>11</v>
      </c>
      <c r="Y2" s="19" t="s">
        <v>12</v>
      </c>
      <c r="Z2" s="19" t="s">
        <v>11</v>
      </c>
      <c r="AA2" s="19" t="s">
        <v>12</v>
      </c>
      <c r="AB2" s="19" t="s">
        <v>11</v>
      </c>
      <c r="AC2" s="19" t="s">
        <v>12</v>
      </c>
      <c r="AD2" s="19" t="s">
        <v>11</v>
      </c>
      <c r="AE2" s="44" t="s">
        <v>12</v>
      </c>
      <c r="AF2" s="19" t="s">
        <v>11</v>
      </c>
      <c r="AG2" s="44" t="s">
        <v>12</v>
      </c>
      <c r="AH2" s="19" t="s">
        <v>11</v>
      </c>
      <c r="AI2" s="44" t="s">
        <v>12</v>
      </c>
      <c r="AJ2" s="19" t="s">
        <v>11</v>
      </c>
      <c r="AK2" s="19" t="s">
        <v>12</v>
      </c>
      <c r="AL2" s="19" t="s">
        <v>11</v>
      </c>
      <c r="AM2" s="19" t="s">
        <v>12</v>
      </c>
      <c r="AN2" s="19" t="s">
        <v>11</v>
      </c>
      <c r="AO2" s="19" t="s">
        <v>12</v>
      </c>
      <c r="AP2" s="19" t="s">
        <v>11</v>
      </c>
      <c r="AQ2" s="19" t="s">
        <v>12</v>
      </c>
      <c r="AR2" s="19" t="s">
        <v>11</v>
      </c>
      <c r="AS2" s="19" t="s">
        <v>12</v>
      </c>
      <c r="AT2" s="19" t="s">
        <v>11</v>
      </c>
      <c r="AU2" s="19" t="s">
        <v>12</v>
      </c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</row>
    <row r="3" spans="1:119" s="16" customFormat="1" ht="15.75" customHeight="1" x14ac:dyDescent="0.25">
      <c r="B3" s="27" t="s">
        <v>13</v>
      </c>
      <c r="C3" s="28"/>
      <c r="D3" s="52">
        <v>43647</v>
      </c>
      <c r="E3" s="51">
        <v>43647</v>
      </c>
      <c r="F3" s="52">
        <v>43648</v>
      </c>
      <c r="G3" s="53">
        <v>43648</v>
      </c>
      <c r="H3" s="55">
        <v>43649</v>
      </c>
      <c r="I3" s="55">
        <v>43649</v>
      </c>
      <c r="J3" s="20">
        <v>43650</v>
      </c>
      <c r="K3" s="21">
        <v>43650</v>
      </c>
      <c r="L3" s="22"/>
      <c r="M3" s="23"/>
      <c r="N3" s="22"/>
      <c r="O3" s="23"/>
      <c r="P3" s="22"/>
      <c r="Q3" s="23"/>
      <c r="R3" s="22"/>
      <c r="S3" s="23"/>
      <c r="T3" s="22"/>
      <c r="U3" s="23"/>
      <c r="V3" s="22"/>
      <c r="W3" s="23"/>
      <c r="X3" s="22"/>
      <c r="Y3" s="23"/>
      <c r="Z3" s="22"/>
      <c r="AA3" s="23"/>
      <c r="AB3" s="22"/>
      <c r="AC3" s="24"/>
      <c r="AD3" s="22"/>
      <c r="AE3" s="23"/>
      <c r="AF3" s="22"/>
      <c r="AG3" s="23"/>
      <c r="AH3" s="22"/>
      <c r="AI3" s="23"/>
      <c r="AJ3" s="22"/>
      <c r="AK3" s="23"/>
      <c r="AL3" s="22"/>
      <c r="AM3" s="23"/>
      <c r="AN3" s="22"/>
      <c r="AO3" s="23"/>
      <c r="AP3" s="22"/>
      <c r="AQ3" s="23"/>
      <c r="AR3" s="22"/>
      <c r="AS3" s="23"/>
      <c r="AT3" s="22"/>
      <c r="AU3" s="23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</row>
    <row r="4" spans="1:119" s="34" customFormat="1" ht="16.5" customHeight="1" x14ac:dyDescent="0.25">
      <c r="A4" s="35" t="s">
        <v>14</v>
      </c>
      <c r="B4" s="29" t="s">
        <v>8</v>
      </c>
      <c r="C4" s="30">
        <v>49444</v>
      </c>
      <c r="D4" s="31">
        <v>3.67</v>
      </c>
      <c r="E4" s="32">
        <v>1825.37</v>
      </c>
      <c r="F4" s="56">
        <v>3.71</v>
      </c>
      <c r="G4" s="57">
        <v>1814.5</v>
      </c>
      <c r="H4" s="31">
        <v>3.76</v>
      </c>
      <c r="I4" s="32">
        <v>1800.97</v>
      </c>
      <c r="J4" s="31">
        <v>3.7</v>
      </c>
      <c r="K4" s="32">
        <v>1817.76</v>
      </c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1"/>
      <c r="Y4" s="33"/>
      <c r="Z4" s="31"/>
      <c r="AA4" s="32"/>
      <c r="AB4" s="31"/>
      <c r="AC4" s="32"/>
      <c r="AD4" s="31"/>
      <c r="AE4" s="32"/>
      <c r="AF4" s="31"/>
      <c r="AG4" s="32"/>
      <c r="AH4" s="31"/>
      <c r="AI4" s="32"/>
      <c r="AJ4" s="31"/>
      <c r="AK4" s="32"/>
      <c r="AL4" s="31"/>
      <c r="AM4" s="32"/>
      <c r="AN4" s="31"/>
      <c r="AO4" s="32"/>
      <c r="AP4" s="31"/>
      <c r="AQ4" s="32"/>
      <c r="AR4" s="31"/>
      <c r="AS4" s="32"/>
      <c r="AT4" s="31"/>
      <c r="AU4" s="32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</row>
    <row r="5" spans="1:119" s="39" customFormat="1" ht="15.75" customHeight="1" x14ac:dyDescent="0.25">
      <c r="A5" s="26" t="s">
        <v>15</v>
      </c>
      <c r="B5" s="25" t="s">
        <v>8</v>
      </c>
      <c r="C5" s="13">
        <v>49444</v>
      </c>
      <c r="D5" s="56">
        <v>3.55</v>
      </c>
      <c r="E5" s="57">
        <v>1859.12</v>
      </c>
      <c r="F5" s="14">
        <v>3.59</v>
      </c>
      <c r="G5" s="15">
        <v>1848.04</v>
      </c>
      <c r="H5" s="42">
        <v>3.64</v>
      </c>
      <c r="I5" s="43">
        <v>1834.23</v>
      </c>
      <c r="J5" s="42">
        <v>3.58</v>
      </c>
      <c r="K5" s="43">
        <v>1851.34</v>
      </c>
      <c r="L5" s="42"/>
      <c r="M5" s="15"/>
      <c r="N5" s="42"/>
      <c r="O5" s="15"/>
      <c r="P5" s="42"/>
      <c r="Q5" s="43"/>
      <c r="R5" s="42"/>
      <c r="S5" s="43"/>
      <c r="T5" s="42"/>
      <c r="U5" s="43"/>
      <c r="V5" s="42"/>
      <c r="W5" s="43"/>
      <c r="X5" s="42"/>
      <c r="Y5" s="48"/>
      <c r="Z5" s="42"/>
      <c r="AA5" s="43"/>
      <c r="AB5" s="42"/>
      <c r="AC5" s="43"/>
      <c r="AD5" s="42"/>
      <c r="AE5" s="43"/>
      <c r="AF5" s="42"/>
      <c r="AG5" s="43"/>
      <c r="AH5" s="42"/>
      <c r="AI5" s="43"/>
      <c r="AJ5" s="42"/>
      <c r="AK5" s="43"/>
      <c r="AL5" s="42"/>
      <c r="AM5" s="43"/>
      <c r="AN5" s="42"/>
      <c r="AO5" s="43"/>
      <c r="AP5" s="42"/>
      <c r="AQ5" s="43"/>
      <c r="AR5" s="42"/>
      <c r="AS5" s="43"/>
      <c r="AT5" s="42"/>
      <c r="AU5" s="43"/>
    </row>
    <row r="6" spans="1:119" s="40" customFormat="1" x14ac:dyDescent="0.25">
      <c r="A6" s="38" t="s">
        <v>16</v>
      </c>
      <c r="B6" s="50">
        <f>[3]GRAFICO!$AU$6+[4]GRAFICO!$B$6</f>
        <v>402.57409593698634</v>
      </c>
      <c r="C6" s="41">
        <v>43587</v>
      </c>
      <c r="D6" s="46">
        <v>9.6199999999999992</v>
      </c>
      <c r="E6" s="45">
        <v>1.85</v>
      </c>
      <c r="F6" s="46">
        <v>9.6199999999999992</v>
      </c>
      <c r="G6" s="45">
        <v>1.85</v>
      </c>
      <c r="H6" s="46">
        <v>9.6199999999999992</v>
      </c>
      <c r="I6" s="45">
        <v>1.85</v>
      </c>
      <c r="J6" s="46">
        <v>9.6199999999999992</v>
      </c>
      <c r="K6" s="45">
        <v>1.85</v>
      </c>
      <c r="L6" s="46">
        <v>9.6199999999999992</v>
      </c>
      <c r="M6" s="45">
        <v>1.85</v>
      </c>
      <c r="N6" s="46">
        <v>9.6199999999999992</v>
      </c>
      <c r="O6" s="45">
        <v>1.85</v>
      </c>
      <c r="P6" s="46">
        <v>9.6199999999999992</v>
      </c>
      <c r="Q6" s="45">
        <v>1.85</v>
      </c>
      <c r="R6" s="46">
        <v>9.6199999999999992</v>
      </c>
      <c r="S6" s="45">
        <v>1.85</v>
      </c>
      <c r="T6" s="46">
        <v>9.6199999999999992</v>
      </c>
      <c r="U6" s="45">
        <v>1.85</v>
      </c>
      <c r="V6" s="46">
        <v>9.6199999999999992</v>
      </c>
      <c r="W6" s="45">
        <v>1.85</v>
      </c>
      <c r="X6" s="46">
        <v>9.6199999999999992</v>
      </c>
      <c r="Y6" s="45">
        <v>1.85</v>
      </c>
      <c r="Z6" s="46">
        <v>9.6199999999999992</v>
      </c>
      <c r="AA6" s="45">
        <v>1.85</v>
      </c>
      <c r="AB6" s="46">
        <v>9.6199999999999992</v>
      </c>
      <c r="AC6" s="45">
        <v>1.85</v>
      </c>
      <c r="AD6" s="46">
        <v>9.6199999999999992</v>
      </c>
      <c r="AE6" s="45">
        <v>1.85</v>
      </c>
      <c r="AF6" s="46">
        <v>9.6199999999999992</v>
      </c>
      <c r="AG6" s="45">
        <v>1.85</v>
      </c>
      <c r="AH6" s="46">
        <v>9.6199999999999992</v>
      </c>
      <c r="AI6" s="45">
        <v>1.85</v>
      </c>
      <c r="AJ6" s="46">
        <v>9.6199999999999992</v>
      </c>
      <c r="AK6" s="45">
        <v>1.85</v>
      </c>
      <c r="AL6" s="46">
        <v>9.6199999999999992</v>
      </c>
      <c r="AM6" s="45">
        <v>1.85</v>
      </c>
      <c r="AN6" s="46">
        <v>9.6199999999999992</v>
      </c>
      <c r="AO6" s="45">
        <v>1.85</v>
      </c>
      <c r="AP6" s="46">
        <v>9.6199999999999992</v>
      </c>
      <c r="AQ6" s="45">
        <v>1.85</v>
      </c>
      <c r="AR6" s="46">
        <v>9.6199999999999992</v>
      </c>
      <c r="AS6" s="45">
        <v>1.85</v>
      </c>
      <c r="AT6" s="46">
        <v>9.6199999999999992</v>
      </c>
      <c r="AU6" s="45">
        <v>1.85</v>
      </c>
      <c r="AV6" s="49">
        <f>AU6-E6</f>
        <v>0</v>
      </c>
    </row>
    <row r="7" spans="1:119" x14ac:dyDescent="0.25">
      <c r="A7" s="38" t="s">
        <v>17</v>
      </c>
      <c r="B7" s="50">
        <f>[3]GRAFICO!$AU$7+[4]GRAFICO!$B$7</f>
        <v>401.79</v>
      </c>
      <c r="C7" s="41">
        <v>43587</v>
      </c>
      <c r="D7" s="46">
        <v>9.4700000000000006</v>
      </c>
      <c r="E7" s="45">
        <v>1.8</v>
      </c>
      <c r="F7" s="46">
        <v>9.4700000000000006</v>
      </c>
      <c r="G7" s="45">
        <v>1.8</v>
      </c>
      <c r="H7" s="46">
        <v>9.4700000000000006</v>
      </c>
      <c r="I7" s="45">
        <v>1.8</v>
      </c>
      <c r="J7" s="46">
        <v>9.4700000000000006</v>
      </c>
      <c r="K7" s="45">
        <v>1.8</v>
      </c>
      <c r="L7" s="46">
        <v>9.4700000000000006</v>
      </c>
      <c r="M7" s="45">
        <v>1.8</v>
      </c>
      <c r="N7" s="46">
        <v>9.4700000000000006</v>
      </c>
      <c r="O7" s="45">
        <v>1.8</v>
      </c>
      <c r="P7" s="46">
        <v>9.4700000000000006</v>
      </c>
      <c r="Q7" s="45">
        <v>1.8</v>
      </c>
      <c r="R7" s="46">
        <v>9.4700000000000006</v>
      </c>
      <c r="S7" s="45">
        <v>1.8</v>
      </c>
      <c r="T7" s="46">
        <v>9.4700000000000006</v>
      </c>
      <c r="U7" s="45">
        <v>1.8</v>
      </c>
      <c r="V7" s="46">
        <v>9.4700000000000006</v>
      </c>
      <c r="W7" s="45">
        <v>1.8</v>
      </c>
      <c r="X7" s="46">
        <v>9.4700000000000006</v>
      </c>
      <c r="Y7" s="45">
        <v>1.8</v>
      </c>
      <c r="Z7" s="46">
        <v>9.4700000000000006</v>
      </c>
      <c r="AA7" s="45">
        <v>1.8</v>
      </c>
      <c r="AB7" s="46">
        <v>9.4700000000000006</v>
      </c>
      <c r="AC7" s="45">
        <v>1.8</v>
      </c>
      <c r="AD7" s="46">
        <v>9.4700000000000006</v>
      </c>
      <c r="AE7" s="45">
        <v>1.8</v>
      </c>
      <c r="AF7" s="46">
        <v>9.4700000000000006</v>
      </c>
      <c r="AG7" s="45">
        <v>1.8</v>
      </c>
      <c r="AH7" s="46">
        <v>9.4700000000000006</v>
      </c>
      <c r="AI7" s="45">
        <v>1.8</v>
      </c>
      <c r="AJ7" s="46">
        <v>9.4700000000000006</v>
      </c>
      <c r="AK7" s="45">
        <v>1.8</v>
      </c>
      <c r="AL7" s="46">
        <v>9.4700000000000006</v>
      </c>
      <c r="AM7" s="45">
        <v>1.8</v>
      </c>
      <c r="AN7" s="46">
        <v>9.4700000000000006</v>
      </c>
      <c r="AO7" s="45">
        <v>1.8</v>
      </c>
      <c r="AP7" s="46">
        <v>9.4700000000000006</v>
      </c>
      <c r="AQ7" s="45">
        <v>1.8</v>
      </c>
      <c r="AR7" s="46">
        <v>9.4700000000000006</v>
      </c>
      <c r="AS7" s="45">
        <v>1.8</v>
      </c>
      <c r="AT7" s="46">
        <v>9.4700000000000006</v>
      </c>
      <c r="AU7" s="45">
        <v>1.8</v>
      </c>
      <c r="AV7" s="49">
        <f>AU7-E7</f>
        <v>0</v>
      </c>
    </row>
    <row r="8" spans="1:119" x14ac:dyDescent="0.25">
      <c r="AV8" s="49">
        <f>AV6-AV7</f>
        <v>0</v>
      </c>
    </row>
    <row r="10" spans="1:119" x14ac:dyDescent="0.25">
      <c r="AC10" s="6"/>
    </row>
    <row r="11" spans="1:119" x14ac:dyDescent="0.25">
      <c r="AC11" s="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020519</vt:lpstr>
      <vt:lpstr>GRAFICO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2019-07-04T13:26:15Z</dcterms:modified>
</cp:coreProperties>
</file>