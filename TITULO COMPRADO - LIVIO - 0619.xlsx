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240" yWindow="105" windowWidth="14805" windowHeight="8010" activeTab="1"/>
  </bookViews>
  <sheets>
    <sheet name="020519" sheetId="1" r:id="rId1"/>
    <sheet name="GRAFICO" sheetId="2" r:id="rId2"/>
  </sheets>
  <externalReferences>
    <externalReference r:id="rId3"/>
    <externalReference r:id="rId4"/>
    <externalReference r:id="rId5"/>
  </externalReferences>
  <calcPr calcId="152511"/>
</workbook>
</file>

<file path=xl/calcChain.xml><?xml version="1.0" encoding="utf-8"?>
<calcChain xmlns="http://schemas.openxmlformats.org/spreadsheetml/2006/main">
  <c r="B7" i="2" l="1"/>
  <c r="F8" i="1" l="1"/>
  <c r="E8" i="1"/>
  <c r="D8" i="1"/>
  <c r="C8" i="1"/>
  <c r="H2" i="1" l="1"/>
  <c r="G2" i="1"/>
  <c r="H8" i="1" s="1"/>
  <c r="E2" i="1"/>
  <c r="G8" i="1" s="1"/>
  <c r="F2" i="1"/>
  <c r="A2" i="1"/>
  <c r="G6" i="2" l="1"/>
  <c r="I6" i="2" s="1"/>
  <c r="K6" i="2" s="1"/>
  <c r="M6" i="2" s="1"/>
  <c r="O6" i="2" s="1"/>
  <c r="Q6" i="2" s="1"/>
  <c r="S6" i="2" s="1"/>
  <c r="U6" i="2" s="1"/>
  <c r="W6" i="2" s="1"/>
  <c r="Y6" i="2" s="1"/>
  <c r="AA6" i="2" s="1"/>
  <c r="AC6" i="2" s="1"/>
  <c r="AE6" i="2" s="1"/>
  <c r="AG6" i="2" s="1"/>
  <c r="AI6" i="2" s="1"/>
  <c r="AK6" i="2" s="1"/>
  <c r="AM6" i="2" s="1"/>
  <c r="AO6" i="2" s="1"/>
  <c r="AP6" i="2" s="1"/>
  <c r="G7" i="2"/>
  <c r="I7" i="2" l="1"/>
  <c r="K7" i="2" s="1"/>
  <c r="M7" i="2" s="1"/>
  <c r="O7" i="2" s="1"/>
  <c r="Q7" i="2" s="1"/>
  <c r="S7" i="2" s="1"/>
  <c r="U7" i="2" s="1"/>
  <c r="W7" i="2" s="1"/>
  <c r="Y7" i="2" s="1"/>
  <c r="AA7" i="2" s="1"/>
  <c r="AC7" i="2" s="1"/>
  <c r="AE7" i="2" s="1"/>
  <c r="AG7" i="2" s="1"/>
  <c r="AI7" i="2" s="1"/>
  <c r="AK7" i="2" s="1"/>
  <c r="AM7" i="2" s="1"/>
  <c r="AO7" i="2" s="1"/>
  <c r="AP7" i="2" s="1"/>
  <c r="AP8" i="2"/>
  <c r="B6" i="2" l="1"/>
  <c r="F7" i="2" l="1"/>
  <c r="H7" i="2" s="1"/>
  <c r="J7" i="2" s="1"/>
  <c r="L7" i="2" s="1"/>
  <c r="N7" i="2" s="1"/>
  <c r="P7" i="2" s="1"/>
  <c r="R7" i="2" s="1"/>
  <c r="T7" i="2" s="1"/>
  <c r="V7" i="2" s="1"/>
  <c r="X7" i="2" s="1"/>
  <c r="Z7" i="2" s="1"/>
  <c r="AB7" i="2" s="1"/>
  <c r="AD7" i="2" s="1"/>
  <c r="AF7" i="2" s="1"/>
  <c r="AH7" i="2" s="1"/>
  <c r="AJ7" i="2" s="1"/>
  <c r="AL7" i="2" s="1"/>
  <c r="AN7" i="2" s="1"/>
  <c r="F6" i="2"/>
  <c r="H6" i="2" s="1"/>
  <c r="J6" i="2" s="1"/>
  <c r="L6" i="2" s="1"/>
  <c r="N6" i="2" s="1"/>
  <c r="P6" i="2" s="1"/>
  <c r="R6" i="2" s="1"/>
  <c r="T6" i="2" s="1"/>
  <c r="V6" i="2" s="1"/>
  <c r="X6" i="2" s="1"/>
  <c r="Z6" i="2" s="1"/>
  <c r="AB6" i="2" s="1"/>
  <c r="AD6" i="2" s="1"/>
  <c r="AF6" i="2" s="1"/>
  <c r="AH6" i="2" s="1"/>
  <c r="AJ6" i="2" s="1"/>
  <c r="AL6" i="2" s="1"/>
  <c r="AN6" i="2" s="1"/>
</calcChain>
</file>

<file path=xl/sharedStrings.xml><?xml version="1.0" encoding="utf-8"?>
<sst xmlns="http://schemas.openxmlformats.org/spreadsheetml/2006/main" count="64" uniqueCount="26">
  <si>
    <t>DATA COMPRA</t>
  </si>
  <si>
    <t>VALOR COMPRADO</t>
  </si>
  <si>
    <t>FRAÇÃO</t>
  </si>
  <si>
    <t>VALOR TITULO NA COMPRA</t>
  </si>
  <si>
    <t>TÍTULO COMPRADO</t>
  </si>
  <si>
    <t>VALOR TITULO VENDA</t>
  </si>
  <si>
    <t>TAXA JUROS COMPRA (%)</t>
  </si>
  <si>
    <t>TAXA JUROS VENDA (%)</t>
  </si>
  <si>
    <t>Tesouro IPCA+ 2035</t>
  </si>
  <si>
    <t>Título</t>
  </si>
  <si>
    <t>Vencimento</t>
  </si>
  <si>
    <t>Taxa de Rendimento (% a.a.)</t>
  </si>
  <si>
    <t>Preço Unitário</t>
  </si>
  <si>
    <t>Dia/Mês</t>
  </si>
  <si>
    <t>VENDA</t>
  </si>
  <si>
    <t>COMPRA</t>
  </si>
  <si>
    <t>TITULO VENDA</t>
  </si>
  <si>
    <t>TITULO COMPRA</t>
  </si>
  <si>
    <t>Tesouro IPCA+ com Juros Semestrais</t>
  </si>
  <si>
    <t>Títulos</t>
  </si>
  <si>
    <t>Últ. 30 dias</t>
  </si>
  <si>
    <t>No ano</t>
  </si>
  <si>
    <t>12 meses</t>
  </si>
  <si>
    <t>Compra</t>
  </si>
  <si>
    <t>Venda</t>
  </si>
  <si>
    <t>Mês anterior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</si>
</sst>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44" formatCode="_-&quot;R$&quot;* #,##0.00_-;\-&quot;R$&quot;* #,##0.00_-;_-&quot;R$&quot;* &quot;-&quot;??_-;_-@_-"/>
    <numFmt numFmtId="164" formatCode="dd/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rgb="FFB2B2B2"/>
      </patternFill>
    </fill>
    <fill>
      <patternFill patternType="solid">
        <fgColor rgb="FFB2B2B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6">
    <xf numFmtId="0" fontId="0" fillId="0" borderId="0" xfId="0"/>
    <xf numFmtId="0" fontId="2" fillId="0" borderId="0" xfId="0" applyFont="1" applyBorder="1" applyAlignment="1">
      <alignment horizontal="center"/>
    </xf>
    <xf numFmtId="8" fontId="2" fillId="0" borderId="0" xfId="0" applyNumberFormat="1" applyFont="1" applyBorder="1" applyAlignment="1">
      <alignment horizontal="right"/>
    </xf>
    <xf numFmtId="0" fontId="2" fillId="0" borderId="0" xfId="0" applyFont="1" applyBorder="1" applyAlignment="1">
      <alignment horizontal="right"/>
    </xf>
    <xf numFmtId="14" fontId="2" fillId="0" borderId="0" xfId="0" applyNumberFormat="1" applyFont="1" applyBorder="1" applyAlignment="1"/>
    <xf numFmtId="0" fontId="2" fillId="0" borderId="0" xfId="0" applyFont="1" applyFill="1" applyBorder="1" applyAlignment="1">
      <alignment horizontal="center"/>
    </xf>
    <xf numFmtId="8" fontId="0" fillId="0" borderId="0" xfId="0" applyNumberFormat="1"/>
    <xf numFmtId="0" fontId="2" fillId="0" borderId="0" xfId="1" applyNumberFormat="1" applyFont="1" applyBorder="1" applyAlignment="1">
      <alignment horizontal="center"/>
    </xf>
    <xf numFmtId="0" fontId="2" fillId="0" borderId="0" xfId="1" applyNumberFormat="1" applyFont="1" applyBorder="1" applyAlignment="1">
      <alignment horizontal="right"/>
    </xf>
    <xf numFmtId="0" fontId="0" fillId="0" borderId="0" xfId="1" applyNumberFormat="1" applyFont="1"/>
    <xf numFmtId="0" fontId="2" fillId="0" borderId="0" xfId="0" applyNumberFormat="1" applyFont="1" applyBorder="1" applyAlignment="1">
      <alignment horizontal="center"/>
    </xf>
    <xf numFmtId="0" fontId="2" fillId="0" borderId="0" xfId="0" applyNumberFormat="1" applyFont="1" applyBorder="1" applyAlignment="1">
      <alignment horizontal="right"/>
    </xf>
    <xf numFmtId="0" fontId="0" fillId="0" borderId="0" xfId="0" applyNumberFormat="1"/>
    <xf numFmtId="14" fontId="3" fillId="2" borderId="2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8" fontId="3" fillId="3" borderId="2" xfId="0" applyNumberFormat="1" applyFont="1" applyFill="1" applyBorder="1" applyAlignment="1">
      <alignment horizontal="center" vertical="center"/>
    </xf>
    <xf numFmtId="0" fontId="0" fillId="0" borderId="0" xfId="0" applyFont="1" applyAlignment="1"/>
    <xf numFmtId="0" fontId="4" fillId="4" borderId="3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left"/>
    </xf>
    <xf numFmtId="0" fontId="4" fillId="5" borderId="3" xfId="0" applyFont="1" applyFill="1" applyBorder="1" applyAlignment="1">
      <alignment wrapText="1"/>
    </xf>
    <xf numFmtId="164" fontId="3" fillId="2" borderId="6" xfId="0" applyNumberFormat="1" applyFont="1" applyFill="1" applyBorder="1" applyAlignment="1">
      <alignment horizontal="center"/>
    </xf>
    <xf numFmtId="164" fontId="3" fillId="2" borderId="7" xfId="0" applyNumberFormat="1" applyFont="1" applyFill="1" applyBorder="1" applyAlignment="1">
      <alignment horizontal="center"/>
    </xf>
    <xf numFmtId="16" fontId="3" fillId="3" borderId="6" xfId="0" applyNumberFormat="1" applyFont="1" applyFill="1" applyBorder="1" applyAlignment="1">
      <alignment horizontal="center" wrapText="1"/>
    </xf>
    <xf numFmtId="16" fontId="3" fillId="3" borderId="7" xfId="0" applyNumberFormat="1" applyFont="1" applyFill="1" applyBorder="1" applyAlignment="1">
      <alignment horizontal="center" wrapText="1"/>
    </xf>
    <xf numFmtId="16" fontId="3" fillId="3" borderId="8" xfId="0" applyNumberFormat="1" applyFont="1" applyFill="1" applyBorder="1" applyAlignment="1">
      <alignment horizontal="center" wrapText="1"/>
    </xf>
    <xf numFmtId="0" fontId="3" fillId="2" borderId="0" xfId="0" applyFont="1" applyFill="1" applyBorder="1" applyAlignment="1">
      <alignment horizontal="left"/>
    </xf>
    <xf numFmtId="0" fontId="0" fillId="0" borderId="9" xfId="0" applyFont="1" applyBorder="1" applyAlignment="1"/>
    <xf numFmtId="0" fontId="3" fillId="2" borderId="6" xfId="0" applyFont="1" applyFill="1" applyBorder="1" applyAlignment="1">
      <alignment horizontal="left"/>
    </xf>
    <xf numFmtId="14" fontId="3" fillId="2" borderId="7" xfId="0" applyNumberFormat="1" applyFont="1" applyFill="1" applyBorder="1" applyAlignment="1">
      <alignment horizontal="center"/>
    </xf>
    <xf numFmtId="0" fontId="3" fillId="3" borderId="8" xfId="0" applyFont="1" applyFill="1" applyBorder="1" applyAlignment="1">
      <alignment wrapText="1"/>
    </xf>
    <xf numFmtId="14" fontId="3" fillId="3" borderId="8" xfId="0" applyNumberFormat="1" applyFont="1" applyFill="1" applyBorder="1" applyAlignment="1">
      <alignment horizontal="center" wrapText="1"/>
    </xf>
    <xf numFmtId="0" fontId="3" fillId="3" borderId="6" xfId="0" applyFont="1" applyFill="1" applyBorder="1" applyAlignment="1">
      <alignment horizontal="center" vertical="center"/>
    </xf>
    <xf numFmtId="8" fontId="3" fillId="3" borderId="7" xfId="0" applyNumberFormat="1" applyFont="1" applyFill="1" applyBorder="1" applyAlignment="1">
      <alignment horizontal="center" vertical="center"/>
    </xf>
    <xf numFmtId="8" fontId="3" fillId="3" borderId="8" xfId="0" applyNumberFormat="1" applyFont="1" applyFill="1" applyBorder="1" applyAlignment="1">
      <alignment horizontal="center" vertical="center"/>
    </xf>
    <xf numFmtId="0" fontId="0" fillId="0" borderId="8" xfId="0" applyFont="1" applyBorder="1" applyAlignment="1"/>
    <xf numFmtId="0" fontId="0" fillId="0" borderId="3" xfId="0" applyFont="1" applyBorder="1" applyAlignment="1"/>
    <xf numFmtId="8" fontId="0" fillId="0" borderId="0" xfId="1" applyNumberFormat="1" applyFont="1"/>
    <xf numFmtId="2" fontId="0" fillId="0" borderId="0" xfId="0" applyNumberFormat="1"/>
    <xf numFmtId="0" fontId="0" fillId="0" borderId="3" xfId="0" applyBorder="1"/>
    <xf numFmtId="0" fontId="0" fillId="0" borderId="0" xfId="0" applyFont="1" applyBorder="1" applyAlignment="1"/>
    <xf numFmtId="0" fontId="0" fillId="0" borderId="0" xfId="0" applyBorder="1"/>
    <xf numFmtId="14" fontId="2" fillId="0" borderId="5" xfId="0" applyNumberFormat="1" applyFont="1" applyBorder="1" applyAlignment="1"/>
    <xf numFmtId="0" fontId="3" fillId="3" borderId="10" xfId="0" applyFont="1" applyFill="1" applyBorder="1" applyAlignment="1">
      <alignment horizontal="center" vertical="center"/>
    </xf>
    <xf numFmtId="8" fontId="3" fillId="3" borderId="11" xfId="0" applyNumberFormat="1" applyFont="1" applyFill="1" applyBorder="1" applyAlignment="1">
      <alignment horizontal="center" vertical="center"/>
    </xf>
    <xf numFmtId="0" fontId="4" fillId="5" borderId="4" xfId="0" applyFont="1" applyFill="1" applyBorder="1" applyAlignment="1">
      <alignment wrapText="1"/>
    </xf>
    <xf numFmtId="44" fontId="0" fillId="0" borderId="5" xfId="2" applyFont="1" applyBorder="1"/>
    <xf numFmtId="2" fontId="0" fillId="0" borderId="4" xfId="0" applyNumberFormat="1" applyBorder="1"/>
    <xf numFmtId="14" fontId="0" fillId="0" borderId="0" xfId="0" applyNumberFormat="1"/>
    <xf numFmtId="8" fontId="3" fillId="3" borderId="12" xfId="0" applyNumberFormat="1" applyFont="1" applyFill="1" applyBorder="1" applyAlignment="1">
      <alignment horizontal="center" vertical="center"/>
    </xf>
    <xf numFmtId="44" fontId="0" fillId="0" borderId="0" xfId="0" applyNumberFormat="1" applyBorder="1"/>
    <xf numFmtId="44" fontId="0" fillId="0" borderId="4" xfId="0" applyNumberFormat="1" applyBorder="1"/>
    <xf numFmtId="164" fontId="3" fillId="2" borderId="13" xfId="0" applyNumberFormat="1" applyFont="1" applyFill="1" applyBorder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164" fontId="3" fillId="2" borderId="5" xfId="0" applyNumberFormat="1" applyFont="1" applyFill="1" applyBorder="1" applyAlignment="1">
      <alignment horizontal="center"/>
    </xf>
    <xf numFmtId="0" fontId="4" fillId="4" borderId="9" xfId="0" applyFont="1" applyFill="1" applyBorder="1" applyAlignment="1">
      <alignment horizontal="left"/>
    </xf>
    <xf numFmtId="164" fontId="3" fillId="2" borderId="8" xfId="0" applyNumberFormat="1" applyFont="1" applyFill="1" applyBorder="1" applyAlignment="1">
      <alignment horizontal="center"/>
    </xf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TAXA JUROS</a:t>
            </a:r>
            <a:r>
              <a:rPr lang="pt-BR" baseline="0"/>
              <a:t> DIA -A - DIA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GRAFICO!$A$4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GRAFICO!$B$2:$AO$3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GRAFICO!$B$4:$AO$4</c15:sqref>
                  </c15:fullRef>
                </c:ext>
              </c:extLst>
              <c:f>(GRAFICO!$D$4,GRAFICO!$F$4,GRAFICO!$H$4,GRAFICO!$J$4,GRAFICO!$L$4,GRAFICO!$N$4,GRAFICO!$P$4,GRAFICO!$R$4,GRAFICO!$T$4,GRAFICO!$V$4,GRAFICO!$X$4,GRAFICO!$Z$4,GRAFICO!$AB$4,GRAFICO!$AD$4,GRAFICO!$AF$4,GRAFICO!$AH$4,GRAFICO!$AJ$4,GRAFICO!$AL$4,GRAFICO!$AN$4)</c:f>
              <c:numCache>
                <c:formatCode>m/d/yyyy</c:formatCode>
                <c:ptCount val="19"/>
                <c:pt idx="0" formatCode="General">
                  <c:v>4.09</c:v>
                </c:pt>
                <c:pt idx="1" formatCode="General">
                  <c:v>4.01</c:v>
                </c:pt>
                <c:pt idx="2" formatCode="General">
                  <c:v>4.05</c:v>
                </c:pt>
                <c:pt idx="3" formatCode="General">
                  <c:v>4.0599999999999996</c:v>
                </c:pt>
                <c:pt idx="4" formatCode="General">
                  <c:v>4.05</c:v>
                </c:pt>
                <c:pt idx="5" formatCode="General">
                  <c:v>4.05</c:v>
                </c:pt>
                <c:pt idx="6" formatCode="General">
                  <c:v>4.0199999999999996</c:v>
                </c:pt>
                <c:pt idx="7" formatCode="General">
                  <c:v>4.01</c:v>
                </c:pt>
                <c:pt idx="8" formatCode="General">
                  <c:v>4.0199999999999996</c:v>
                </c:pt>
                <c:pt idx="9" formatCode="General">
                  <c:v>4.03</c:v>
                </c:pt>
                <c:pt idx="10" formatCode="General">
                  <c:v>4.01</c:v>
                </c:pt>
                <c:pt idx="11" formatCode="General">
                  <c:v>4</c:v>
                </c:pt>
                <c:pt idx="12" formatCode="General">
                  <c:v>4.01</c:v>
                </c:pt>
                <c:pt idx="13" formatCode="General">
                  <c:v>3.89</c:v>
                </c:pt>
                <c:pt idx="14" formatCode="General">
                  <c:v>3.89</c:v>
                </c:pt>
                <c:pt idx="15" formatCode="General">
                  <c:v>3.88</c:v>
                </c:pt>
                <c:pt idx="16" formatCode="General">
                  <c:v>3.85</c:v>
                </c:pt>
                <c:pt idx="17" formatCode="General">
                  <c:v>3.84</c:v>
                </c:pt>
                <c:pt idx="18" formatCode="General">
                  <c:v>3.74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GRAFICO!$A$5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GRAFICO!$B$2:$AO$3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GRAFICO!$B$5:$AO$5</c15:sqref>
                  </c15:fullRef>
                </c:ext>
              </c:extLst>
              <c:f>(GRAFICO!$D$5,GRAFICO!$F$5,GRAFICO!$H$5,GRAFICO!$J$5,GRAFICO!$L$5,GRAFICO!$N$5,GRAFICO!$P$5,GRAFICO!$R$5,GRAFICO!$T$5,GRAFICO!$V$5,GRAFICO!$X$5,GRAFICO!$Z$5,GRAFICO!$AB$5,GRAFICO!$AD$5,GRAFICO!$AF$5,GRAFICO!$AH$5,GRAFICO!$AJ$5,GRAFICO!$AL$5,GRAFICO!$AN$5)</c:f>
              <c:numCache>
                <c:formatCode>m/d/yyyy</c:formatCode>
                <c:ptCount val="19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  <c:pt idx="9" formatCode="General">
                  <c:v>3.91</c:v>
                </c:pt>
                <c:pt idx="10" formatCode="General">
                  <c:v>3.89</c:v>
                </c:pt>
                <c:pt idx="11" formatCode="General">
                  <c:v>3.88</c:v>
                </c:pt>
                <c:pt idx="12" formatCode="General">
                  <c:v>3.89</c:v>
                </c:pt>
                <c:pt idx="13" formatCode="General">
                  <c:v>3.77</c:v>
                </c:pt>
                <c:pt idx="14" formatCode="General">
                  <c:v>3.77</c:v>
                </c:pt>
                <c:pt idx="15" formatCode="General">
                  <c:v>3.76</c:v>
                </c:pt>
                <c:pt idx="16" formatCode="General">
                  <c:v>3.73</c:v>
                </c:pt>
                <c:pt idx="17" formatCode="General">
                  <c:v>3.72</c:v>
                </c:pt>
                <c:pt idx="18" formatCode="General">
                  <c:v>3.62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7770176"/>
        <c:axId val="627772352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GRAFICO!$A$6</c15:sqref>
                        </c15:formulaRef>
                      </c:ext>
                    </c:extLst>
                    <c:strCache>
                      <c:ptCount val="1"/>
                      <c:pt idx="0">
                        <c:v>TITULO 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GRAFICO!$B$2:$AO$3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GRAFICO!$B$6:$AO$6</c15:sqref>
                        </c15:fullRef>
                        <c15:formulaRef>
                          <c15:sqref>(GRAFICO!$D$6,GRAFICO!$F$6,GRAFICO!$H$6,GRAFICO!$J$6,GRAFICO!$L$6,GRAFICO!$N$6,GRAFICO!$P$6,GRAFICO!$R$6,GRAFICO!$T$6,GRAFICO!$V$6,GRAFICO!$X$6,GRAFICO!$Z$6,GRAFICO!$AB$6,GRAFICO!$AD$6,GRAFICO!$AF$6,GRAFICO!$AH$6,GRAFICO!$AJ$6,GRAFICO!$AL$6,GRAFICO!$AN$6)</c15:sqref>
                        </c15:formulaRef>
                      </c:ext>
                    </c:extLst>
                    <c:numCache>
                      <c:formatCode>m/d/yyyy</c:formatCode>
                      <c:ptCount val="19"/>
                      <c:pt idx="0" formatCode="0.00">
                        <c:v>5.45</c:v>
                      </c:pt>
                      <c:pt idx="1" formatCode="0.00">
                        <c:v>5.6834238724485244</c:v>
                      </c:pt>
                      <c:pt idx="2" formatCode="0.00">
                        <c:v>5.9182232386657523</c:v>
                      </c:pt>
                      <c:pt idx="3" formatCode="0.00">
                        <c:v>6.1533262141423268</c:v>
                      </c:pt>
                      <c:pt idx="4" formatCode="0.00">
                        <c:v>6.3881952590323881</c:v>
                      </c:pt>
                      <c:pt idx="5" formatCode="0.00">
                        <c:v>6.623017846879752</c:v>
                      </c:pt>
                      <c:pt idx="6" formatCode="0.00">
                        <c:v>6.8567214809086741</c:v>
                      </c:pt>
                      <c:pt idx="7" formatCode="0.00">
                        <c:v>7.0900225782179431</c:v>
                      </c:pt>
                      <c:pt idx="8" formatCode="0.00">
                        <c:v>7.3236328839058364</c:v>
                      </c:pt>
                      <c:pt idx="9" formatCode="0.00">
                        <c:v>7.5575518630584035</c:v>
                      </c:pt>
                      <c:pt idx="10" formatCode="0.00">
                        <c:v>7.7907222322920724</c:v>
                      </c:pt>
                      <c:pt idx="11" formatCode="0.00">
                        <c:v>8.0234999524186641</c:v>
                      </c:pt>
                      <c:pt idx="12" formatCode="0.00">
                        <c:v>8.2565949164568426</c:v>
                      </c:pt>
                      <c:pt idx="13" formatCode="0.00">
                        <c:v>8.4854268265184167</c:v>
                      </c:pt>
                      <c:pt idx="14" formatCode="0.00">
                        <c:v>8.71422371486128</c:v>
                      </c:pt>
                      <c:pt idx="15" formatCode="0.00">
                        <c:v>8.9426360706186934</c:v>
                      </c:pt>
                      <c:pt idx="16" formatCode="0.00">
                        <c:v>9.1700075215079888</c:v>
                      </c:pt>
                      <c:pt idx="17" formatCode="0.00">
                        <c:v>9.3970017653608462</c:v>
                      </c:pt>
                      <c:pt idx="18" formatCode="0.00">
                        <c:v>9.6205340179549292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GRAFICO!$A$7</c15:sqref>
                        </c15:formulaRef>
                      </c:ext>
                    </c:extLst>
                    <c:strCache>
                      <c:ptCount val="1"/>
                      <c:pt idx="0">
                        <c:v>TITULO 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GRAFICO!$B$2:$AO$3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GRAFICO!$B$7:$AO$7</c15:sqref>
                        </c15:fullRef>
                        <c15:formulaRef>
                          <c15:sqref>(GRAFICO!$D$7,GRAFICO!$F$7,GRAFICO!$H$7,GRAFICO!$J$7,GRAFICO!$L$7,GRAFICO!$N$7,GRAFICO!$P$7,GRAFICO!$R$7,GRAFICO!$T$7,GRAFICO!$V$7,GRAFICO!$X$7,GRAFICO!$Z$7,GRAFICO!$AB$7,GRAFICO!$AD$7,GRAFICO!$AF$7,GRAFICO!$AH$7,GRAFICO!$AJ$7,GRAFICO!$AL$7,GRAFICO!$AN$7)</c15:sqref>
                        </c15:formulaRef>
                      </c:ext>
                    </c:extLst>
                    <c:numCache>
                      <c:formatCode>m/d/yyyy</c:formatCode>
                      <c:ptCount val="19"/>
                      <c:pt idx="0" formatCode="0.00">
                        <c:v>5.38</c:v>
                      </c:pt>
                      <c:pt idx="1" formatCode="0.00">
                        <c:v>5.6091801153039142</c:v>
                      </c:pt>
                      <c:pt idx="2" formatCode="0.00">
                        <c:v>5.8397136693688259</c:v>
                      </c:pt>
                      <c:pt idx="3" formatCode="0.00">
                        <c:v>6.0705464943832439</c:v>
                      </c:pt>
                      <c:pt idx="4" formatCode="0.00">
                        <c:v>6.3011511702918979</c:v>
                      </c:pt>
                      <c:pt idx="5" formatCode="0.00">
                        <c:v>6.531711060664672</c:v>
                      </c:pt>
                      <c:pt idx="6" formatCode="0.00">
                        <c:v>6.7611712867355225</c:v>
                      </c:pt>
                      <c:pt idx="7" formatCode="0.00">
                        <c:v>6.9902369491951379</c:v>
                      </c:pt>
                      <c:pt idx="8" formatCode="0.00">
                        <c:v>7.2196085080876644</c:v>
                      </c:pt>
                      <c:pt idx="9" formatCode="0.00">
                        <c:v>7.4492854745935153</c:v>
                      </c:pt>
                      <c:pt idx="10" formatCode="0.00">
                        <c:v>7.678226409710506</c:v>
                      </c:pt>
                      <c:pt idx="11" formatCode="0.00">
                        <c:v>7.9067823283061847</c:v>
                      </c:pt>
                      <c:pt idx="12" formatCode="0.00">
                        <c:v>8.1356505685134355</c:v>
                      </c:pt>
                      <c:pt idx="13" formatCode="0.00">
                        <c:v>8.3603300272844479</c:v>
                      </c:pt>
                      <c:pt idx="14" formatCode="0.00">
                        <c:v>8.584975723739614</c:v>
                      </c:pt>
                      <c:pt idx="15" formatCode="0.00">
                        <c:v>8.8092457188372162</c:v>
                      </c:pt>
                      <c:pt idx="16" formatCode="0.00">
                        <c:v>9.0324936154300346</c:v>
                      </c:pt>
                      <c:pt idx="17" formatCode="0.00">
                        <c:v>9.2553704676678166</c:v>
                      </c:pt>
                      <c:pt idx="18" formatCode="0.00">
                        <c:v>9.4748455912203564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627770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27772352"/>
        <c:crosses val="autoZero"/>
        <c:auto val="1"/>
        <c:lblAlgn val="ctr"/>
        <c:lblOffset val="100"/>
        <c:noMultiLvlLbl val="0"/>
      </c:catAx>
      <c:valAx>
        <c:axId val="627772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27770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TITULO</a:t>
            </a:r>
            <a:r>
              <a:rPr lang="pt-BR" baseline="0"/>
              <a:t> ADQUIRIDO</a:t>
            </a:r>
            <a:endParaRPr lang="pt-B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GRAFICO!$A$4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GRAFICO!$B$2:$AO$3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GRAFICO!$B$4:$AO$4</c15:sqref>
                  </c15:fullRef>
                </c:ext>
              </c:extLst>
              <c:f>(GRAFICO!$E$4,GRAFICO!$G$4,GRAFICO!$I$4,GRAFICO!$K$4,GRAFICO!$M$4,GRAFICO!$O$4,GRAFICO!$Q$4,GRAFICO!$S$4,GRAFICO!$U$4,GRAFICO!$W$4,GRAFICO!$Y$4,GRAFICO!$AA$4,GRAFICO!$AC$4,GRAFICO!$AE$4,GRAFICO!$AG$4,GRAFICO!$AI$4,GRAFICO!$AK$4,GRAFICO!$AM$4,GRAFICO!$AO$4)</c:f>
              <c:numCache>
                <c:formatCode>m/d/yyyy</c:formatCode>
                <c:ptCount val="19"/>
                <c:pt idx="0" formatCode="&quot;R$&quot;#,##0.00_);[Red]\(&quot;R$&quot;#,##0.00\)">
                  <c:v>1707.8</c:v>
                </c:pt>
                <c:pt idx="1" formatCode="&quot;R$&quot;#,##0.00_);[Red]\(&quot;R$&quot;#,##0.00\)">
                  <c:v>1729.21</c:v>
                </c:pt>
                <c:pt idx="2" formatCode="&quot;R$&quot;#,##0.00_);[Red]\(&quot;R$&quot;#,##0.00\)">
                  <c:v>1719.08</c:v>
                </c:pt>
                <c:pt idx="3" formatCode="&quot;R$&quot;#,##0.00_);[Red]\(&quot;R$&quot;#,##0.00\)">
                  <c:v>1716.86</c:v>
                </c:pt>
                <c:pt idx="4" formatCode="&quot;R$&quot;#,##0.00_);[Red]\(&quot;R$&quot;#,##0.00\)">
                  <c:v>1718.57</c:v>
                </c:pt>
                <c:pt idx="5" formatCode="&quot;R$&quot;#,##0.00_);[Red]\(&quot;R$&quot;#,##0.00\)">
                  <c:v>1718.91</c:v>
                </c:pt>
                <c:pt idx="6" formatCode="&quot;R$&quot;#,##0.00_);[Red]\(&quot;R$&quot;#,##0.00\)">
                  <c:v>1727.14</c:v>
                </c:pt>
                <c:pt idx="7" formatCode="&quot;R$&quot;#,##0.00_);[Red]\(&quot;R$&quot;#,##0.00\)">
                  <c:v>1730.12</c:v>
                </c:pt>
                <c:pt idx="8" formatCode="&quot;R$&quot;#,##0.00_);[Red]\(&quot;R$&quot;#,##0.00\)">
                  <c:v>1727.83</c:v>
                </c:pt>
                <c:pt idx="9" formatCode="&quot;R$&quot;#,##0.00_);[Red]\(&quot;R$&quot;#,##0.00\)">
                  <c:v>1725.55</c:v>
                </c:pt>
                <c:pt idx="10" formatCode="&quot;R$&quot;#,##0.00_);[Red]\(&quot;R$&quot;#,##0.00\)">
                  <c:v>1731.09</c:v>
                </c:pt>
                <c:pt idx="11" formatCode="&quot;R$&quot;#,##0.00_);[Red]\(&quot;R$&quot;#,##0.00\)">
                  <c:v>1734.01</c:v>
                </c:pt>
                <c:pt idx="12" formatCode="&quot;R$&quot;#,##0.00_);[Red]\(&quot;R$&quot;#,##0.00\)">
                  <c:v>1731.65</c:v>
                </c:pt>
                <c:pt idx="13" formatCode="&quot;R$&quot;#,##0.00_);[Red]\(&quot;R$&quot;#,##0.00\)">
                  <c:v>1763.91</c:v>
                </c:pt>
                <c:pt idx="14" formatCode="&quot;R$&quot;#,##0.00_);[Red]\(&quot;R$&quot;#,##0.00\)">
                  <c:v>1764.18</c:v>
                </c:pt>
                <c:pt idx="15" formatCode="&quot;R$&quot;#,##0.00_);[Red]\(&quot;R$&quot;#,##0.00\)">
                  <c:v>1767.15</c:v>
                </c:pt>
                <c:pt idx="16" formatCode="&quot;R$&quot;#,##0.00_);[Red]\(&quot;R$&quot;#,##0.00\)">
                  <c:v>1775.24</c:v>
                </c:pt>
                <c:pt idx="17" formatCode="&quot;R$&quot;#,##0.00_);[Red]\(&quot;R$&quot;#,##0.00\)">
                  <c:v>1778.19</c:v>
                </c:pt>
                <c:pt idx="18" formatCode="&quot;R$&quot;#,##0.00_);[Red]\(&quot;R$&quot;#,##0.00\)">
                  <c:v>1805.73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GRAFICO!$A$5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f>GRAFICO!$B$2:$AO$3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GRAFICO!$B$5:$AO$5</c15:sqref>
                  </c15:fullRef>
                </c:ext>
              </c:extLst>
              <c:f>(GRAFICO!$E$5,GRAFICO!$G$5,GRAFICO!$I$5,GRAFICO!$K$5,GRAFICO!$M$5,GRAFICO!$O$5,GRAFICO!$Q$5,GRAFICO!$S$5,GRAFICO!$U$5,GRAFICO!$W$5,GRAFICO!$Y$5,GRAFICO!$AA$5,GRAFICO!$AC$5,GRAFICO!$AE$5,GRAFICO!$AG$5,GRAFICO!$AI$5,GRAFICO!$AK$5,GRAFICO!$AM$5,GRAFICO!$AO$5)</c:f>
              <c:numCache>
                <c:formatCode>m/d/yyyy</c:formatCode>
                <c:ptCount val="19"/>
                <c:pt idx="0" formatCode="&quot;R$&quot;#,##0.00_);[Red]\(&quot;R$&quot;#,##0.00\)">
                  <c:v>1739.41</c:v>
                </c:pt>
                <c:pt idx="1" formatCode="&quot;R$&quot;#,##0.00_);[Red]\(&quot;R$&quot;#,##0.00\)">
                  <c:v>1761.23</c:v>
                </c:pt>
                <c:pt idx="2" formatCode="&quot;R$&quot;#,##0.00_);[Red]\(&quot;R$&quot;#,##0.00\)">
                  <c:v>1750.89</c:v>
                </c:pt>
                <c:pt idx="3" formatCode="&quot;R$&quot;#,##0.00_);[Red]\(&quot;R$&quot;#,##0.00\)">
                  <c:v>1748.62</c:v>
                </c:pt>
                <c:pt idx="4" formatCode="&quot;R$&quot;#,##0.00_);[Red]\(&quot;R$&quot;#,##0.00\)">
                  <c:v>1750.35</c:v>
                </c:pt>
                <c:pt idx="5" formatCode="&quot;R$&quot;#,##0.00_);[Red]\(&quot;R$&quot;#,##0.00\)">
                  <c:v>1750.69</c:v>
                </c:pt>
                <c:pt idx="6" formatCode="&quot;R$&quot;#,##0.00_);[Red]\(&quot;R$&quot;#,##0.00\)">
                  <c:v>1759.08</c:v>
                </c:pt>
                <c:pt idx="7" formatCode="&quot;R$&quot;#,##0.00_);[Red]\(&quot;R$&quot;#,##0.00\)">
                  <c:v>1762.11</c:v>
                </c:pt>
                <c:pt idx="8" formatCode="&quot;R$&quot;#,##0.00_);[Red]\(&quot;R$&quot;#,##0.00\)">
                  <c:v>1759.76</c:v>
                </c:pt>
                <c:pt idx="9" formatCode="&quot;R$&quot;#,##0.00_);[Red]\(&quot;R$&quot;#,##0.00\)">
                  <c:v>1757.42</c:v>
                </c:pt>
                <c:pt idx="10" formatCode="&quot;R$&quot;#,##0.00_);[Red]\(&quot;R$&quot;#,##0.00\)">
                  <c:v>1763.07</c:v>
                </c:pt>
                <c:pt idx="11" formatCode="&quot;R$&quot;#,##0.00_);[Red]\(&quot;R$&quot;#,##0.00\)">
                  <c:v>1766.04</c:v>
                </c:pt>
                <c:pt idx="12" formatCode="&quot;R$&quot;#,##0.00_);[Red]\(&quot;R$&quot;#,##0.00\)">
                  <c:v>1763.63</c:v>
                </c:pt>
                <c:pt idx="13" formatCode="&quot;R$&quot;#,##0.00_);[Red]\(&quot;R$&quot;#,##0.00\)">
                  <c:v>1796.51</c:v>
                </c:pt>
                <c:pt idx="14" formatCode="&quot;R$&quot;#,##0.00_);[Red]\(&quot;R$&quot;#,##0.00\)">
                  <c:v>1796.78</c:v>
                </c:pt>
                <c:pt idx="15" formatCode="&quot;R$&quot;#,##0.00_);[Red]\(&quot;R$&quot;#,##0.00\)">
                  <c:v>1799.79</c:v>
                </c:pt>
                <c:pt idx="16" formatCode="&quot;R$&quot;#,##0.00_);[Red]\(&quot;R$&quot;#,##0.00\)">
                  <c:v>1808.03</c:v>
                </c:pt>
                <c:pt idx="17" formatCode="&quot;R$&quot;#,##0.00_);[Red]\(&quot;R$&quot;#,##0.00\)">
                  <c:v>1811.04</c:v>
                </c:pt>
                <c:pt idx="18" formatCode="&quot;R$&quot;#,##0.00_);[Red]\(&quot;R$&quot;#,##0.00\)">
                  <c:v>1839.11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7774528"/>
        <c:axId val="627783776"/>
      </c:lineChart>
      <c:catAx>
        <c:axId val="627774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27783776"/>
        <c:crosses val="autoZero"/>
        <c:auto val="1"/>
        <c:lblAlgn val="ctr"/>
        <c:lblOffset val="100"/>
        <c:noMultiLvlLbl val="0"/>
      </c:catAx>
      <c:valAx>
        <c:axId val="627783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27774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GRAFICO!$B$2:$AO$3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GRAFICO!$B$6:$AO$6</c15:sqref>
                  </c15:fullRef>
                </c:ext>
              </c:extLst>
              <c:f>(GRAFICO!$D$6,GRAFICO!$F$6,GRAFICO!$H$6,GRAFICO!$J$6,GRAFICO!$L$6,GRAFICO!$N$6,GRAFICO!$P$6,GRAFICO!$R$6,GRAFICO!$T$6,GRAFICO!$V$6,GRAFICO!$X$6,GRAFICO!$Z$6,GRAFICO!$AB$6,GRAFICO!$AD$6,GRAFICO!$AF$6,GRAFICO!$AH$6,GRAFICO!$AJ$6,GRAFICO!$AL$6,GRAFICO!$AN$6)</c:f>
              <c:numCache>
                <c:formatCode>m/d/yyyy</c:formatCode>
                <c:ptCount val="19"/>
                <c:pt idx="0" formatCode="0.00">
                  <c:v>5.45</c:v>
                </c:pt>
                <c:pt idx="1" formatCode="0.00">
                  <c:v>5.6834238724485244</c:v>
                </c:pt>
                <c:pt idx="2" formatCode="0.00">
                  <c:v>5.9182232386657523</c:v>
                </c:pt>
                <c:pt idx="3" formatCode="0.00">
                  <c:v>6.1533262141423268</c:v>
                </c:pt>
                <c:pt idx="4" formatCode="0.00">
                  <c:v>6.3881952590323881</c:v>
                </c:pt>
                <c:pt idx="5" formatCode="0.00">
                  <c:v>6.623017846879752</c:v>
                </c:pt>
                <c:pt idx="6" formatCode="0.00">
                  <c:v>6.8567214809086741</c:v>
                </c:pt>
                <c:pt idx="7" formatCode="0.00">
                  <c:v>7.0900225782179431</c:v>
                </c:pt>
                <c:pt idx="8" formatCode="0.00">
                  <c:v>7.3236328839058364</c:v>
                </c:pt>
                <c:pt idx="9" formatCode="0.00">
                  <c:v>7.5575518630584035</c:v>
                </c:pt>
                <c:pt idx="10" formatCode="0.00">
                  <c:v>7.7907222322920724</c:v>
                </c:pt>
                <c:pt idx="11" formatCode="0.00">
                  <c:v>8.0234999524186641</c:v>
                </c:pt>
                <c:pt idx="12" formatCode="0.00">
                  <c:v>8.2565949164568426</c:v>
                </c:pt>
                <c:pt idx="13" formatCode="0.00">
                  <c:v>8.4854268265184167</c:v>
                </c:pt>
                <c:pt idx="14" formatCode="0.00">
                  <c:v>8.71422371486128</c:v>
                </c:pt>
                <c:pt idx="15" formatCode="0.00">
                  <c:v>8.9426360706186934</c:v>
                </c:pt>
                <c:pt idx="16" formatCode="0.00">
                  <c:v>9.1700075215079888</c:v>
                </c:pt>
                <c:pt idx="17" formatCode="0.00">
                  <c:v>9.3970017653608462</c:v>
                </c:pt>
                <c:pt idx="18" formatCode="0.00">
                  <c:v>9.6205340179549292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GRAFICO!$B$2:$AO$3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GRAFICO!$B$7:$AO$7</c15:sqref>
                  </c15:fullRef>
                </c:ext>
              </c:extLst>
              <c:f>(GRAFICO!$D$7,GRAFICO!$F$7,GRAFICO!$H$7,GRAFICO!$J$7,GRAFICO!$L$7,GRAFICO!$N$7,GRAFICO!$P$7,GRAFICO!$R$7,GRAFICO!$T$7,GRAFICO!$V$7,GRAFICO!$X$7,GRAFICO!$Z$7,GRAFICO!$AB$7,GRAFICO!$AD$7,GRAFICO!$AF$7,GRAFICO!$AH$7,GRAFICO!$AJ$7,GRAFICO!$AL$7,GRAFICO!$AN$7)</c:f>
              <c:numCache>
                <c:formatCode>m/d/yyyy</c:formatCode>
                <c:ptCount val="19"/>
                <c:pt idx="0" formatCode="0.00">
                  <c:v>5.38</c:v>
                </c:pt>
                <c:pt idx="1" formatCode="0.00">
                  <c:v>5.6091801153039142</c:v>
                </c:pt>
                <c:pt idx="2" formatCode="0.00">
                  <c:v>5.8397136693688259</c:v>
                </c:pt>
                <c:pt idx="3" formatCode="0.00">
                  <c:v>6.0705464943832439</c:v>
                </c:pt>
                <c:pt idx="4" formatCode="0.00">
                  <c:v>6.3011511702918979</c:v>
                </c:pt>
                <c:pt idx="5" formatCode="0.00">
                  <c:v>6.531711060664672</c:v>
                </c:pt>
                <c:pt idx="6" formatCode="0.00">
                  <c:v>6.7611712867355225</c:v>
                </c:pt>
                <c:pt idx="7" formatCode="0.00">
                  <c:v>6.9902369491951379</c:v>
                </c:pt>
                <c:pt idx="8" formatCode="0.00">
                  <c:v>7.2196085080876644</c:v>
                </c:pt>
                <c:pt idx="9" formatCode="0.00">
                  <c:v>7.4492854745935153</c:v>
                </c:pt>
                <c:pt idx="10" formatCode="0.00">
                  <c:v>7.678226409710506</c:v>
                </c:pt>
                <c:pt idx="11" formatCode="0.00">
                  <c:v>7.9067823283061847</c:v>
                </c:pt>
                <c:pt idx="12" formatCode="0.00">
                  <c:v>8.1356505685134355</c:v>
                </c:pt>
                <c:pt idx="13" formatCode="0.00">
                  <c:v>8.3603300272844479</c:v>
                </c:pt>
                <c:pt idx="14" formatCode="0.00">
                  <c:v>8.584975723739614</c:v>
                </c:pt>
                <c:pt idx="15" formatCode="0.00">
                  <c:v>8.8092457188372162</c:v>
                </c:pt>
                <c:pt idx="16" formatCode="0.00">
                  <c:v>9.0324936154300346</c:v>
                </c:pt>
                <c:pt idx="17" formatCode="0.00">
                  <c:v>9.2553704676678166</c:v>
                </c:pt>
                <c:pt idx="18" formatCode="0.00">
                  <c:v>9.4748455912203564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7783232"/>
        <c:axId val="6277843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GRAFICO!$B$2:$AO$3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GRAFICO!$B$4:$AO$4</c15:sqref>
                        </c15:fullRef>
                        <c15:formulaRef>
                          <c15:sqref>(GRAFICO!$D$4,GRAFICO!$F$4,GRAFICO!$H$4,GRAFICO!$J$4,GRAFICO!$L$4,GRAFICO!$N$4,GRAFICO!$P$4,GRAFICO!$R$4,GRAFICO!$T$4,GRAFICO!$V$4,GRAFICO!$X$4,GRAFICO!$Z$4,GRAFICO!$AB$4,GRAFICO!$AD$4,GRAFICO!$AF$4,GRAFICO!$AH$4,GRAFICO!$AJ$4,GRAFICO!$AL$4,GRAFICO!$AN$4)</c15:sqref>
                        </c15:formulaRef>
                      </c:ext>
                    </c:extLst>
                    <c:numCache>
                      <c:formatCode>m/d/yyyy</c:formatCode>
                      <c:ptCount val="19"/>
                      <c:pt idx="0" formatCode="General">
                        <c:v>4.09</c:v>
                      </c:pt>
                      <c:pt idx="1" formatCode="General">
                        <c:v>4.01</c:v>
                      </c:pt>
                      <c:pt idx="2" formatCode="General">
                        <c:v>4.05</c:v>
                      </c:pt>
                      <c:pt idx="3" formatCode="General">
                        <c:v>4.0599999999999996</c:v>
                      </c:pt>
                      <c:pt idx="4" formatCode="General">
                        <c:v>4.05</c:v>
                      </c:pt>
                      <c:pt idx="5" formatCode="General">
                        <c:v>4.05</c:v>
                      </c:pt>
                      <c:pt idx="6" formatCode="General">
                        <c:v>4.0199999999999996</c:v>
                      </c:pt>
                      <c:pt idx="7" formatCode="General">
                        <c:v>4.01</c:v>
                      </c:pt>
                      <c:pt idx="8" formatCode="General">
                        <c:v>4.0199999999999996</c:v>
                      </c:pt>
                      <c:pt idx="9" formatCode="General">
                        <c:v>4.03</c:v>
                      </c:pt>
                      <c:pt idx="10" formatCode="General">
                        <c:v>4.01</c:v>
                      </c:pt>
                      <c:pt idx="11" formatCode="General">
                        <c:v>4</c:v>
                      </c:pt>
                      <c:pt idx="12" formatCode="General">
                        <c:v>4.01</c:v>
                      </c:pt>
                      <c:pt idx="13" formatCode="General">
                        <c:v>3.89</c:v>
                      </c:pt>
                      <c:pt idx="14" formatCode="General">
                        <c:v>3.89</c:v>
                      </c:pt>
                      <c:pt idx="15" formatCode="General">
                        <c:v>3.88</c:v>
                      </c:pt>
                      <c:pt idx="16" formatCode="General">
                        <c:v>3.85</c:v>
                      </c:pt>
                      <c:pt idx="17" formatCode="General">
                        <c:v>3.84</c:v>
                      </c:pt>
                      <c:pt idx="18" formatCode="General">
                        <c:v>3.74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GRAFICO!$B$2:$AO$3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GRAFICO!$B$5:$AO$5</c15:sqref>
                        </c15:fullRef>
                        <c15:formulaRef>
                          <c15:sqref>(GRAFICO!$D$5,GRAFICO!$F$5,GRAFICO!$H$5,GRAFICO!$J$5,GRAFICO!$L$5,GRAFICO!$N$5,GRAFICO!$P$5,GRAFICO!$R$5,GRAFICO!$T$5,GRAFICO!$V$5,GRAFICO!$X$5,GRAFICO!$Z$5,GRAFICO!$AB$5,GRAFICO!$AD$5,GRAFICO!$AF$5,GRAFICO!$AH$5,GRAFICO!$AJ$5,GRAFICO!$AL$5,GRAFICO!$AN$5)</c15:sqref>
                        </c15:formulaRef>
                      </c:ext>
                    </c:extLst>
                    <c:numCache>
                      <c:formatCode>m/d/yyyy</c:formatCode>
                      <c:ptCount val="19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  <c:pt idx="6" formatCode="General">
                        <c:v>3.9</c:v>
                      </c:pt>
                      <c:pt idx="7" formatCode="General">
                        <c:v>3.89</c:v>
                      </c:pt>
                      <c:pt idx="8" formatCode="General">
                        <c:v>3.9</c:v>
                      </c:pt>
                      <c:pt idx="9" formatCode="General">
                        <c:v>3.91</c:v>
                      </c:pt>
                      <c:pt idx="10" formatCode="General">
                        <c:v>3.89</c:v>
                      </c:pt>
                      <c:pt idx="11" formatCode="General">
                        <c:v>3.88</c:v>
                      </c:pt>
                      <c:pt idx="12" formatCode="General">
                        <c:v>3.89</c:v>
                      </c:pt>
                      <c:pt idx="13" formatCode="General">
                        <c:v>3.77</c:v>
                      </c:pt>
                      <c:pt idx="14" formatCode="General">
                        <c:v>3.77</c:v>
                      </c:pt>
                      <c:pt idx="15" formatCode="General">
                        <c:v>3.76</c:v>
                      </c:pt>
                      <c:pt idx="16" formatCode="General">
                        <c:v>3.73</c:v>
                      </c:pt>
                      <c:pt idx="17" formatCode="General">
                        <c:v>3.72</c:v>
                      </c:pt>
                      <c:pt idx="18" formatCode="General">
                        <c:v>3.62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627783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27784320"/>
        <c:crosses val="autoZero"/>
        <c:auto val="1"/>
        <c:lblAlgn val="ctr"/>
        <c:lblOffset val="100"/>
        <c:noMultiLvlLbl val="0"/>
      </c:catAx>
      <c:valAx>
        <c:axId val="627784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27783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f>GRAFICO!$B$2:$AO$3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GRAFICO!$B$6:$AO$6</c15:sqref>
                  </c15:fullRef>
                </c:ext>
              </c:extLst>
              <c:f>(GRAFICO!$E$6,GRAFICO!$G$6,GRAFICO!$I$6,GRAFICO!$K$6,GRAFICO!$M$6,GRAFICO!$O$6,GRAFICO!$Q$6,GRAFICO!$S$6,GRAFICO!$U$6,GRAFICO!$W$6,GRAFICO!$Y$6,GRAFICO!$AA$6,GRAFICO!$AC$6,GRAFICO!$AE$6,GRAFICO!$AG$6,GRAFICO!$AI$6,GRAFICO!$AK$6,GRAFICO!$AM$6,GRAFICO!$AO$6)</c:f>
              <c:numCache>
                <c:formatCode>m/d/yyyy</c:formatCode>
                <c:ptCount val="19"/>
                <c:pt idx="0" formatCode="_(&quot;R$&quot;* #,##0.00_);_(&quot;R$&quot;* \(#,##0.00\);_(&quot;R$&quot;* &quot;-&quot;??_);_(@_)">
                  <c:v>1.06</c:v>
                </c:pt>
                <c:pt idx="1" formatCode="_(&quot;R$&quot;* #,##0.00_);_(&quot;R$&quot;* \(#,##0.00\);_(&quot;R$&quot;* &quot;-&quot;??_);_(@_)">
                  <c:v>1.1042559397720451</c:v>
                </c:pt>
                <c:pt idx="2" formatCode="_(&quot;R$&quot;* #,##0.00_);_(&quot;R$&quot;* \(#,##0.00\);_(&quot;R$&quot;* &quot;-&quot;??_);_(@_)">
                  <c:v>1.1489533353024148</c:v>
                </c:pt>
                <c:pt idx="3" formatCode="_(&quot;R$&quot;* #,##0.00_);_(&quot;R$&quot;* \(#,##0.00\);_(&quot;R$&quot;* &quot;-&quot;??_);_(@_)">
                  <c:v>1.1937610947723656</c:v>
                </c:pt>
                <c:pt idx="4" formatCode="_(&quot;R$&quot;* #,##0.00_);_(&quot;R$&quot;* \(#,##0.00\);_(&quot;R$&quot;* &quot;-&quot;??_);_(@_)">
                  <c:v>1.2384584903027354</c:v>
                </c:pt>
                <c:pt idx="5" formatCode="_(&quot;R$&quot;* #,##0.00_);_(&quot;R$&quot;* \(#,##0.00\);_(&quot;R$&quot;* &quot;-&quot;??_);_(@_)">
                  <c:v>1.2831558858331051</c:v>
                </c:pt>
                <c:pt idx="6" formatCode="_(&quot;R$&quot;* #,##0.00_);_(&quot;R$&quot;* \(#,##0.00\);_(&quot;R$&quot;* &quot;-&quot;??_);_(@_)">
                  <c:v>1.3275221895447313</c:v>
                </c:pt>
                <c:pt idx="7" formatCode="_(&quot;R$&quot;* #,##0.00_);_(&quot;R$&quot;* \(#,##0.00\);_(&quot;R$&quot;* &quot;-&quot;??_);_(@_)">
                  <c:v>1.3717781293167763</c:v>
                </c:pt>
                <c:pt idx="8" formatCode="_(&quot;R$&quot;* #,##0.00_);_(&quot;R$&quot;* \(#,##0.00\);_(&quot;R$&quot;* &quot;-&quot;??_);_(@_)">
                  <c:v>1.4161444330284025</c:v>
                </c:pt>
                <c:pt idx="9" formatCode="_(&quot;R$&quot;* #,##0.00_);_(&quot;R$&quot;* \(#,##0.00\);_(&quot;R$&quot;* &quot;-&quot;??_);_(@_)">
                  <c:v>1.4606211006796099</c:v>
                </c:pt>
                <c:pt idx="10" formatCode="_(&quot;R$&quot;* #,##0.00_);_(&quot;R$&quot;* \(#,##0.00\);_(&quot;R$&quot;* &quot;-&quot;??_);_(@_)">
                  <c:v>1.5048770404516549</c:v>
                </c:pt>
                <c:pt idx="11" formatCode="_(&quot;R$&quot;* #,##0.00_);_(&quot;R$&quot;* \(#,##0.00\);_(&quot;R$&quot;* &quot;-&quot;??_);_(@_)">
                  <c:v>1.5490226162841187</c:v>
                </c:pt>
                <c:pt idx="12" formatCode="_(&quot;R$&quot;* #,##0.00_);_(&quot;R$&quot;* \(#,##0.00\);_(&quot;R$&quot;* &quot;-&quot;??_);_(@_)">
                  <c:v>1.5932785560561638</c:v>
                </c:pt>
                <c:pt idx="13" formatCode="_(&quot;R$&quot;* #,##0.00_);_(&quot;R$&quot;* \(#,##0.00\);_(&quot;R$&quot;* &quot;-&quot;??_);_(@_)">
                  <c:v>1.6362101285532349</c:v>
                </c:pt>
                <c:pt idx="14" formatCode="_(&quot;R$&quot;* #,##0.00_);_(&quot;R$&quot;* \(#,##0.00\);_(&quot;R$&quot;* &quot;-&quot;??_);_(@_)">
                  <c:v>1.679141701050306</c:v>
                </c:pt>
                <c:pt idx="15" formatCode="_(&quot;R$&quot;* #,##0.00_);_(&quot;R$&quot;* \(#,##0.00\);_(&quot;R$&quot;* &quot;-&quot;??_);_(@_)">
                  <c:v>1.721962909607796</c:v>
                </c:pt>
                <c:pt idx="16" formatCode="_(&quot;R$&quot;* #,##0.00_);_(&quot;R$&quot;* \(#,##0.00\);_(&quot;R$&quot;* &quot;-&quot;??_);_(@_)">
                  <c:v>1.7644530263465426</c:v>
                </c:pt>
                <c:pt idx="17" formatCode="_(&quot;R$&quot;* #,##0.00_);_(&quot;R$&quot;* \(#,##0.00\);_(&quot;R$&quot;* &quot;-&quot;??_);_(@_)">
                  <c:v>1.8068327791457079</c:v>
                </c:pt>
                <c:pt idx="18" formatCode="_(&quot;R$&quot;* #,##0.00_);_(&quot;R$&quot;* \(#,##0.00\);_(&quot;R$&quot;* &quot;-&quot;??_);_(@_)">
                  <c:v>1.8481088925490616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f>GRAFICO!$B$2:$AO$3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GRAFICO!$B$7:$AO$7</c15:sqref>
                  </c15:fullRef>
                </c:ext>
              </c:extLst>
              <c:f>(GRAFICO!$E$7,GRAFICO!$G$7,GRAFICO!$I$7,GRAFICO!$K$7,GRAFICO!$M$7,GRAFICO!$O$7,GRAFICO!$Q$7,GRAFICO!$S$7,GRAFICO!$U$7,GRAFICO!$W$7,GRAFICO!$Y$7,GRAFICO!$AA$7,GRAFICO!$AC$7,GRAFICO!$AE$7,GRAFICO!$AG$7,GRAFICO!$AI$7,GRAFICO!$AK$7,GRAFICO!$AM$7,GRAFICO!$AO$7)</c:f>
              <c:numCache>
                <c:formatCode>m/d/yyyy</c:formatCode>
                <c:ptCount val="19"/>
                <c:pt idx="0" formatCode="_(&quot;R$&quot;* #,##0.00_);_(&quot;R$&quot;* \(#,##0.00\);_(&quot;R$&quot;* &quot;-&quot;??_);_(@_)">
                  <c:v>1.04</c:v>
                </c:pt>
                <c:pt idx="1" formatCode="_(&quot;R$&quot;* #,##0.00_);_(&quot;R$&quot;* \(#,##0.00\);_(&quot;R$&quot;* &quot;-&quot;??_);_(@_)">
                  <c:v>1.0829315724970712</c:v>
                </c:pt>
                <c:pt idx="2" formatCode="_(&quot;R$&quot;* #,##0.00_);_(&quot;R$&quot;* \(#,##0.00\);_(&quot;R$&quot;* &quot;-&quot;??_);_(@_)">
                  <c:v>1.1263046007524669</c:v>
                </c:pt>
                <c:pt idx="3" formatCode="_(&quot;R$&quot;* #,##0.00_);_(&quot;R$&quot;* \(#,##0.00\);_(&quot;R$&quot;* &quot;-&quot;??_);_(@_)">
                  <c:v>1.1697879929474437</c:v>
                </c:pt>
                <c:pt idx="4" formatCode="_(&quot;R$&quot;* #,##0.00_);_(&quot;R$&quot;* \(#,##0.00\);_(&quot;R$&quot;* &quot;-&quot;??_);_(@_)">
                  <c:v>1.2131610212028394</c:v>
                </c:pt>
                <c:pt idx="5" formatCode="_(&quot;R$&quot;* #,##0.00_);_(&quot;R$&quot;* \(#,##0.00\);_(&quot;R$&quot;* &quot;-&quot;??_);_(@_)">
                  <c:v>1.2565340494582351</c:v>
                </c:pt>
                <c:pt idx="6" formatCode="_(&quot;R$&quot;* #,##0.00_);_(&quot;R$&quot;* \(#,##0.00\);_(&quot;R$&quot;* &quot;-&quot;??_);_(@_)">
                  <c:v>1.2995759858948874</c:v>
                </c:pt>
                <c:pt idx="7" formatCode="_(&quot;R$&quot;* #,##0.00_);_(&quot;R$&quot;* \(#,##0.00\);_(&quot;R$&quot;* &quot;-&quot;??_);_(@_)">
                  <c:v>1.3425075583919586</c:v>
                </c:pt>
                <c:pt idx="8" formatCode="_(&quot;R$&quot;* #,##0.00_);_(&quot;R$&quot;* \(#,##0.00\);_(&quot;R$&quot;* &quot;-&quot;??_);_(@_)">
                  <c:v>1.3855494948286109</c:v>
                </c:pt>
                <c:pt idx="9" formatCode="_(&quot;R$&quot;* #,##0.00_);_(&quot;R$&quot;* \(#,##0.00\);_(&quot;R$&quot;* &quot;-&quot;??_);_(@_)">
                  <c:v>1.4287017952048444</c:v>
                </c:pt>
                <c:pt idx="10" formatCode="_(&quot;R$&quot;* #,##0.00_);_(&quot;R$&quot;* \(#,##0.00\);_(&quot;R$&quot;* &quot;-&quot;??_);_(@_)">
                  <c:v>1.4716333677019156</c:v>
                </c:pt>
                <c:pt idx="11" formatCode="_(&quot;R$&quot;* #,##0.00_);_(&quot;R$&quot;* \(#,##0.00\);_(&quot;R$&quot;* &quot;-&quot;??_);_(@_)">
                  <c:v>1.5144545762594055</c:v>
                </c:pt>
                <c:pt idx="12" formatCode="_(&quot;R$&quot;* #,##0.00_);_(&quot;R$&quot;* \(#,##0.00\);_(&quot;R$&quot;* &quot;-&quot;??_);_(@_)">
                  <c:v>1.5573861487564766</c:v>
                </c:pt>
                <c:pt idx="13" formatCode="_(&quot;R$&quot;* #,##0.00_);_(&quot;R$&quot;* \(#,##0.00\);_(&quot;R$&quot;* &quot;-&quot;??_);_(@_)">
                  <c:v>1.5989933539785739</c:v>
                </c:pt>
                <c:pt idx="14" formatCode="_(&quot;R$&quot;* #,##0.00_);_(&quot;R$&quot;* \(#,##0.00\);_(&quot;R$&quot;* &quot;-&quot;??_);_(@_)">
                  <c:v>1.6406005592006712</c:v>
                </c:pt>
                <c:pt idx="15" formatCode="_(&quot;R$&quot;* #,##0.00_);_(&quot;R$&quot;* \(#,##0.00\);_(&quot;R$&quot;* &quot;-&quot;??_);_(@_)">
                  <c:v>1.6820974004831872</c:v>
                </c:pt>
                <c:pt idx="16" formatCode="_(&quot;R$&quot;* #,##0.00_);_(&quot;R$&quot;* \(#,##0.00\);_(&quot;R$&quot;* &quot;-&quot;??_);_(@_)">
                  <c:v>1.7232631499469597</c:v>
                </c:pt>
                <c:pt idx="17" formatCode="_(&quot;R$&quot;* #,##0.00_);_(&quot;R$&quot;* \(#,##0.00\);_(&quot;R$&quot;* &quot;-&quot;??_);_(@_)">
                  <c:v>1.764318535471151</c:v>
                </c:pt>
                <c:pt idx="18" formatCode="_(&quot;R$&quot;* #,##0.00_);_(&quot;R$&quot;* \(#,##0.00\);_(&quot;R$&quot;* &quot;-&quot;??_);_(@_)">
                  <c:v>1.8042702815995308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7779968"/>
        <c:axId val="6277777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ormulaRef>
                          <c15:sqref>GRAFICO!$B$2:$AO$3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GRAFICO!$B$4:$AO$4</c15:sqref>
                        </c15:fullRef>
                        <c15:formulaRef>
                          <c15:sqref>(GRAFICO!$E$4,GRAFICO!$G$4,GRAFICO!$I$4,GRAFICO!$K$4,GRAFICO!$M$4,GRAFICO!$O$4,GRAFICO!$Q$4,GRAFICO!$S$4,GRAFICO!$U$4,GRAFICO!$W$4,GRAFICO!$Y$4,GRAFICO!$AA$4,GRAFICO!$AC$4,GRAFICO!$AE$4,GRAFICO!$AG$4,GRAFICO!$AI$4,GRAFICO!$AK$4,GRAFICO!$AM$4,GRAFICO!$AO$4)</c15:sqref>
                        </c15:formulaRef>
                      </c:ext>
                    </c:extLst>
                    <c:numCache>
                      <c:formatCode>m/d/yyyy</c:formatCode>
                      <c:ptCount val="19"/>
                      <c:pt idx="0" formatCode="&quot;R$&quot;#,##0.00_);[Red]\(&quot;R$&quot;#,##0.00\)">
                        <c:v>1707.8</c:v>
                      </c:pt>
                      <c:pt idx="1" formatCode="&quot;R$&quot;#,##0.00_);[Red]\(&quot;R$&quot;#,##0.00\)">
                        <c:v>1729.21</c:v>
                      </c:pt>
                      <c:pt idx="2" formatCode="&quot;R$&quot;#,##0.00_);[Red]\(&quot;R$&quot;#,##0.00\)">
                        <c:v>1719.08</c:v>
                      </c:pt>
                      <c:pt idx="3" formatCode="&quot;R$&quot;#,##0.00_);[Red]\(&quot;R$&quot;#,##0.00\)">
                        <c:v>1716.86</c:v>
                      </c:pt>
                      <c:pt idx="4" formatCode="&quot;R$&quot;#,##0.00_);[Red]\(&quot;R$&quot;#,##0.00\)">
                        <c:v>1718.57</c:v>
                      </c:pt>
                      <c:pt idx="5" formatCode="&quot;R$&quot;#,##0.00_);[Red]\(&quot;R$&quot;#,##0.00\)">
                        <c:v>1718.91</c:v>
                      </c:pt>
                      <c:pt idx="6" formatCode="&quot;R$&quot;#,##0.00_);[Red]\(&quot;R$&quot;#,##0.00\)">
                        <c:v>1727.14</c:v>
                      </c:pt>
                      <c:pt idx="7" formatCode="&quot;R$&quot;#,##0.00_);[Red]\(&quot;R$&quot;#,##0.00\)">
                        <c:v>1730.12</c:v>
                      </c:pt>
                      <c:pt idx="8" formatCode="&quot;R$&quot;#,##0.00_);[Red]\(&quot;R$&quot;#,##0.00\)">
                        <c:v>1727.83</c:v>
                      </c:pt>
                      <c:pt idx="9" formatCode="&quot;R$&quot;#,##0.00_);[Red]\(&quot;R$&quot;#,##0.00\)">
                        <c:v>1725.55</c:v>
                      </c:pt>
                      <c:pt idx="10" formatCode="&quot;R$&quot;#,##0.00_);[Red]\(&quot;R$&quot;#,##0.00\)">
                        <c:v>1731.09</c:v>
                      </c:pt>
                      <c:pt idx="11" formatCode="&quot;R$&quot;#,##0.00_);[Red]\(&quot;R$&quot;#,##0.00\)">
                        <c:v>1734.01</c:v>
                      </c:pt>
                      <c:pt idx="12" formatCode="&quot;R$&quot;#,##0.00_);[Red]\(&quot;R$&quot;#,##0.00\)">
                        <c:v>1731.65</c:v>
                      </c:pt>
                      <c:pt idx="13" formatCode="&quot;R$&quot;#,##0.00_);[Red]\(&quot;R$&quot;#,##0.00\)">
                        <c:v>1763.91</c:v>
                      </c:pt>
                      <c:pt idx="14" formatCode="&quot;R$&quot;#,##0.00_);[Red]\(&quot;R$&quot;#,##0.00\)">
                        <c:v>1764.18</c:v>
                      </c:pt>
                      <c:pt idx="15" formatCode="&quot;R$&quot;#,##0.00_);[Red]\(&quot;R$&quot;#,##0.00\)">
                        <c:v>1767.15</c:v>
                      </c:pt>
                      <c:pt idx="16" formatCode="&quot;R$&quot;#,##0.00_);[Red]\(&quot;R$&quot;#,##0.00\)">
                        <c:v>1775.24</c:v>
                      </c:pt>
                      <c:pt idx="17" formatCode="&quot;R$&quot;#,##0.00_);[Red]\(&quot;R$&quot;#,##0.00\)">
                        <c:v>1778.19</c:v>
                      </c:pt>
                      <c:pt idx="18" formatCode="&quot;R$&quot;#,##0.00_);[Red]\(&quot;R$&quot;#,##0.00\)">
                        <c:v>1805.73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ormulaRef>
                          <c15:sqref>GRAFICO!$B$2:$AO$3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GRAFICO!$B$5:$AO$5</c15:sqref>
                        </c15:fullRef>
                        <c15:formulaRef>
                          <c15:sqref>(GRAFICO!$E$5,GRAFICO!$G$5,GRAFICO!$I$5,GRAFICO!$K$5,GRAFICO!$M$5,GRAFICO!$O$5,GRAFICO!$Q$5,GRAFICO!$S$5,GRAFICO!$U$5,GRAFICO!$W$5,GRAFICO!$Y$5,GRAFICO!$AA$5,GRAFICO!$AC$5,GRAFICO!$AE$5,GRAFICO!$AG$5,GRAFICO!$AI$5,GRAFICO!$AK$5,GRAFICO!$AM$5,GRAFICO!$AO$5)</c15:sqref>
                        </c15:formulaRef>
                      </c:ext>
                    </c:extLst>
                    <c:numCache>
                      <c:formatCode>m/d/yyyy</c:formatCode>
                      <c:ptCount val="19"/>
                      <c:pt idx="0" formatCode="&quot;R$&quot;#,##0.00_);[Red]\(&quot;R$&quot;#,##0.00\)">
                        <c:v>1739.41</c:v>
                      </c:pt>
                      <c:pt idx="1" formatCode="&quot;R$&quot;#,##0.00_);[Red]\(&quot;R$&quot;#,##0.00\)">
                        <c:v>1761.23</c:v>
                      </c:pt>
                      <c:pt idx="2" formatCode="&quot;R$&quot;#,##0.00_);[Red]\(&quot;R$&quot;#,##0.00\)">
                        <c:v>1750.89</c:v>
                      </c:pt>
                      <c:pt idx="3" formatCode="&quot;R$&quot;#,##0.00_);[Red]\(&quot;R$&quot;#,##0.00\)">
                        <c:v>1748.62</c:v>
                      </c:pt>
                      <c:pt idx="4" formatCode="&quot;R$&quot;#,##0.00_);[Red]\(&quot;R$&quot;#,##0.00\)">
                        <c:v>1750.35</c:v>
                      </c:pt>
                      <c:pt idx="5" formatCode="&quot;R$&quot;#,##0.00_);[Red]\(&quot;R$&quot;#,##0.00\)">
                        <c:v>1750.69</c:v>
                      </c:pt>
                      <c:pt idx="6" formatCode="&quot;R$&quot;#,##0.00_);[Red]\(&quot;R$&quot;#,##0.00\)">
                        <c:v>1759.08</c:v>
                      </c:pt>
                      <c:pt idx="7" formatCode="&quot;R$&quot;#,##0.00_);[Red]\(&quot;R$&quot;#,##0.00\)">
                        <c:v>1762.11</c:v>
                      </c:pt>
                      <c:pt idx="8" formatCode="&quot;R$&quot;#,##0.00_);[Red]\(&quot;R$&quot;#,##0.00\)">
                        <c:v>1759.76</c:v>
                      </c:pt>
                      <c:pt idx="9" formatCode="&quot;R$&quot;#,##0.00_);[Red]\(&quot;R$&quot;#,##0.00\)">
                        <c:v>1757.42</c:v>
                      </c:pt>
                      <c:pt idx="10" formatCode="&quot;R$&quot;#,##0.00_);[Red]\(&quot;R$&quot;#,##0.00\)">
                        <c:v>1763.07</c:v>
                      </c:pt>
                      <c:pt idx="11" formatCode="&quot;R$&quot;#,##0.00_);[Red]\(&quot;R$&quot;#,##0.00\)">
                        <c:v>1766.04</c:v>
                      </c:pt>
                      <c:pt idx="12" formatCode="&quot;R$&quot;#,##0.00_);[Red]\(&quot;R$&quot;#,##0.00\)">
                        <c:v>1763.63</c:v>
                      </c:pt>
                      <c:pt idx="13" formatCode="&quot;R$&quot;#,##0.00_);[Red]\(&quot;R$&quot;#,##0.00\)">
                        <c:v>1796.51</c:v>
                      </c:pt>
                      <c:pt idx="14" formatCode="&quot;R$&quot;#,##0.00_);[Red]\(&quot;R$&quot;#,##0.00\)">
                        <c:v>1796.78</c:v>
                      </c:pt>
                      <c:pt idx="15" formatCode="&quot;R$&quot;#,##0.00_);[Red]\(&quot;R$&quot;#,##0.00\)">
                        <c:v>1799.79</c:v>
                      </c:pt>
                      <c:pt idx="16" formatCode="&quot;R$&quot;#,##0.00_);[Red]\(&quot;R$&quot;#,##0.00\)">
                        <c:v>1808.03</c:v>
                      </c:pt>
                      <c:pt idx="17" formatCode="&quot;R$&quot;#,##0.00_);[Red]\(&quot;R$&quot;#,##0.00\)">
                        <c:v>1811.04</c:v>
                      </c:pt>
                      <c:pt idx="18" formatCode="&quot;R$&quot;#,##0.00_);[Red]\(&quot;R$&quot;#,##0.00\)">
                        <c:v>1839.11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627779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27777792"/>
        <c:crosses val="autoZero"/>
        <c:auto val="1"/>
        <c:lblAlgn val="ctr"/>
        <c:lblOffset val="100"/>
        <c:noMultiLvlLbl val="0"/>
      </c:catAx>
      <c:valAx>
        <c:axId val="627777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27779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128587</xdr:rowOff>
    </xdr:from>
    <xdr:to>
      <xdr:col>9</xdr:col>
      <xdr:colOff>1581150</xdr:colOff>
      <xdr:row>22</xdr:row>
      <xdr:rowOff>14287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14287</xdr:rowOff>
    </xdr:from>
    <xdr:to>
      <xdr:col>9</xdr:col>
      <xdr:colOff>1581150</xdr:colOff>
      <xdr:row>37</xdr:row>
      <xdr:rowOff>90487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1924048</xdr:colOff>
      <xdr:row>8</xdr:row>
      <xdr:rowOff>4762</xdr:rowOff>
    </xdr:from>
    <xdr:to>
      <xdr:col>20</xdr:col>
      <xdr:colOff>809624</xdr:colOff>
      <xdr:row>22</xdr:row>
      <xdr:rowOff>80962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9524</xdr:colOff>
      <xdr:row>24</xdr:row>
      <xdr:rowOff>14287</xdr:rowOff>
    </xdr:from>
    <xdr:to>
      <xdr:col>19</xdr:col>
      <xdr:colOff>9524</xdr:colOff>
      <xdr:row>38</xdr:row>
      <xdr:rowOff>90487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Compr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Vend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TITULO%20COMPRADO%20-%20LIVI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280519"/>
      <sheetName val="290519"/>
      <sheetName val="300519"/>
      <sheetName val="310519"/>
      <sheetName val="COMPARAÇÃO DIA A DIA"/>
      <sheetName val="TESOURO IPCA"/>
      <sheetName val="TESOURO IPCA JUROS SEMESTRAIS"/>
      <sheetName val="TESOURO PREFIXADOS"/>
      <sheetName val="TESOURO SELIC"/>
    </sheetNames>
    <sheetDataSet>
      <sheetData sheetId="0">
        <row r="4">
          <cell r="A4" t="str">
            <v>Tesouro IPCA+ 2035</v>
          </cell>
          <cell r="C4">
            <v>4.4400000000000004</v>
          </cell>
          <cell r="E4">
            <v>1607.16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280519"/>
      <sheetName val="290519"/>
      <sheetName val="300519"/>
      <sheetName val="310519"/>
      <sheetName val="COMPARAÇÃO DIA A DIA"/>
      <sheetName val="TESOURO IPCA"/>
      <sheetName val="TESOURO IPCA JUROS SEMESTRAIS"/>
      <sheetName val="TESOURO PREFIXADOS"/>
      <sheetName val="TESOURO PREFIXADOS JUROS SEM."/>
      <sheetName val="TESOURO SELIC"/>
      <sheetName val="TESOURO IGP-M"/>
    </sheetNames>
    <sheetDataSet>
      <sheetData sheetId="0">
        <row r="5">
          <cell r="C5">
            <v>4.5599999999999996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GRAFICO"/>
    </sheetNames>
    <sheetDataSet>
      <sheetData sheetId="0"/>
      <sheetData sheetId="1">
        <row r="6">
          <cell r="B6">
            <v>402.57409593698634</v>
          </cell>
          <cell r="AU6">
            <v>1.0647985397260276</v>
          </cell>
        </row>
        <row r="7">
          <cell r="B7">
            <v>401.79</v>
          </cell>
          <cell r="AU7">
            <v>1.0383794712328769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>
      <selection activeCell="H9" sqref="H9"/>
    </sheetView>
  </sheetViews>
  <sheetFormatPr defaultRowHeight="15" x14ac:dyDescent="0.25"/>
  <cols>
    <col min="1" max="1" width="33.85546875" bestFit="1" customWidth="1"/>
    <col min="2" max="2" width="14.7109375" bestFit="1" customWidth="1"/>
    <col min="3" max="3" width="19" bestFit="1" customWidth="1"/>
    <col min="4" max="4" width="11.85546875" bestFit="1" customWidth="1"/>
    <col min="5" max="5" width="24.85546875" style="9" bestFit="1" customWidth="1"/>
    <col min="6" max="6" width="26.42578125" customWidth="1"/>
    <col min="7" max="7" width="23.140625" style="12" bestFit="1" customWidth="1"/>
    <col min="8" max="8" width="21.42578125" bestFit="1" customWidth="1"/>
  </cols>
  <sheetData>
    <row r="1" spans="1:8" x14ac:dyDescent="0.25">
      <c r="A1" t="s">
        <v>4</v>
      </c>
      <c r="B1" s="1" t="s">
        <v>0</v>
      </c>
      <c r="C1" s="1" t="s">
        <v>1</v>
      </c>
      <c r="D1" s="1" t="s">
        <v>2</v>
      </c>
      <c r="E1" s="7" t="s">
        <v>6</v>
      </c>
      <c r="F1" s="1" t="s">
        <v>3</v>
      </c>
      <c r="G1" s="10" t="s">
        <v>7</v>
      </c>
      <c r="H1" s="5" t="s">
        <v>5</v>
      </c>
    </row>
    <row r="2" spans="1:8" x14ac:dyDescent="0.25">
      <c r="A2" t="str">
        <f>'[1]020519'!$A$4</f>
        <v>Tesouro IPCA+ 2035</v>
      </c>
      <c r="B2" s="4">
        <v>43587</v>
      </c>
      <c r="C2" s="2">
        <v>401.79</v>
      </c>
      <c r="D2" s="3">
        <v>0.25</v>
      </c>
      <c r="E2" s="8">
        <f>'[1]020519'!$C$4</f>
        <v>4.4400000000000004</v>
      </c>
      <c r="F2" s="2">
        <f>'[1]020519'!$E$4</f>
        <v>1607.16</v>
      </c>
      <c r="G2" s="11">
        <f>'[2]020519'!$C$5</f>
        <v>4.5599999999999996</v>
      </c>
      <c r="H2" s="6">
        <f>GRAFICO!AC4</f>
        <v>1731.65</v>
      </c>
    </row>
    <row r="6" spans="1:8" x14ac:dyDescent="0.25">
      <c r="A6" t="s">
        <v>19</v>
      </c>
      <c r="B6" t="s">
        <v>10</v>
      </c>
      <c r="C6" t="s">
        <v>20</v>
      </c>
      <c r="D6" t="s">
        <v>25</v>
      </c>
      <c r="E6" t="s">
        <v>21</v>
      </c>
      <c r="F6" t="s">
        <v>22</v>
      </c>
      <c r="G6" t="s">
        <v>23</v>
      </c>
      <c r="H6" t="s">
        <v>24</v>
      </c>
    </row>
    <row r="7" spans="1:8" x14ac:dyDescent="0.25">
      <c r="A7" t="s">
        <v>18</v>
      </c>
      <c r="B7" s="47">
        <v>49444</v>
      </c>
      <c r="C7">
        <v>2.11</v>
      </c>
      <c r="D7">
        <v>0.1</v>
      </c>
      <c r="E7">
        <v>11.17</v>
      </c>
      <c r="F7">
        <v>24.7</v>
      </c>
      <c r="G7">
        <v>4.1399999999999997</v>
      </c>
      <c r="H7">
        <v>4.26</v>
      </c>
    </row>
    <row r="8" spans="1:8" x14ac:dyDescent="0.25">
      <c r="C8" s="6">
        <f>((C2*C7)/100)+C2</f>
        <v>410.26776900000004</v>
      </c>
      <c r="D8" s="6">
        <f>((C2*D7)/100)+C2</f>
        <v>402.19179000000003</v>
      </c>
      <c r="E8" s="36">
        <f>((C2*E7)/100)+C2</f>
        <v>446.66994300000005</v>
      </c>
      <c r="F8" s="6">
        <f>((C2*F7)/100)+C2</f>
        <v>501.03213000000005</v>
      </c>
      <c r="G8" s="12">
        <f>E2-G7</f>
        <v>0.30000000000000071</v>
      </c>
      <c r="H8">
        <f>G2-H7</f>
        <v>0.29999999999999982</v>
      </c>
    </row>
    <row r="10" spans="1:8" x14ac:dyDescent="0.25">
      <c r="D10" s="37"/>
    </row>
    <row r="11" spans="1:8" x14ac:dyDescent="0.25">
      <c r="D11" s="12"/>
      <c r="E11" s="36"/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I11"/>
  <sheetViews>
    <sheetView tabSelected="1" topLeftCell="AH1" workbookViewId="0">
      <selection activeCell="AQ10" sqref="AQ10"/>
    </sheetView>
  </sheetViews>
  <sheetFormatPr defaultRowHeight="15" x14ac:dyDescent="0.25"/>
  <cols>
    <col min="1" max="1" width="15.5703125" bestFit="1" customWidth="1"/>
    <col min="2" max="2" width="18.42578125" bestFit="1" customWidth="1"/>
    <col min="3" max="3" width="11.85546875" bestFit="1" customWidth="1"/>
    <col min="4" max="4" width="28.85546875" bestFit="1" customWidth="1"/>
    <col min="5" max="5" width="14.42578125" bestFit="1" customWidth="1"/>
    <col min="6" max="6" width="28.85546875" bestFit="1" customWidth="1"/>
    <col min="7" max="7" width="14.42578125" bestFit="1" customWidth="1"/>
    <col min="8" max="8" width="28.85546875" bestFit="1" customWidth="1"/>
    <col min="9" max="9" width="14.42578125" bestFit="1" customWidth="1"/>
    <col min="10" max="10" width="28.85546875" bestFit="1" customWidth="1"/>
    <col min="11" max="11" width="14.42578125" bestFit="1" customWidth="1"/>
    <col min="12" max="12" width="28.85546875" bestFit="1" customWidth="1"/>
    <col min="13" max="13" width="14.42578125" bestFit="1" customWidth="1"/>
    <col min="14" max="14" width="28.85546875" bestFit="1" customWidth="1"/>
    <col min="15" max="15" width="14.42578125" bestFit="1" customWidth="1"/>
    <col min="16" max="16" width="28.85546875" bestFit="1" customWidth="1"/>
    <col min="17" max="17" width="14.42578125" bestFit="1" customWidth="1"/>
    <col min="18" max="18" width="28.85546875" bestFit="1" customWidth="1"/>
    <col min="19" max="19" width="14.42578125" bestFit="1" customWidth="1"/>
    <col min="20" max="20" width="28.85546875" bestFit="1" customWidth="1"/>
    <col min="21" max="21" width="14.42578125" bestFit="1" customWidth="1"/>
    <col min="22" max="22" width="28.85546875" bestFit="1" customWidth="1"/>
    <col min="23" max="23" width="14.42578125" bestFit="1" customWidth="1"/>
    <col min="24" max="24" width="28.85546875" bestFit="1" customWidth="1"/>
    <col min="25" max="25" width="14.42578125" bestFit="1" customWidth="1"/>
    <col min="26" max="26" width="28.85546875" bestFit="1" customWidth="1"/>
    <col min="27" max="27" width="14.42578125" bestFit="1" customWidth="1"/>
    <col min="28" max="28" width="28.85546875" bestFit="1" customWidth="1"/>
    <col min="29" max="29" width="14.42578125" bestFit="1" customWidth="1"/>
    <col min="30" max="30" width="28.85546875" bestFit="1" customWidth="1"/>
    <col min="31" max="31" width="14.42578125" bestFit="1" customWidth="1"/>
    <col min="32" max="32" width="28.85546875" style="40" bestFit="1" customWidth="1"/>
    <col min="33" max="33" width="14.42578125" style="40" bestFit="1" customWidth="1"/>
    <col min="34" max="34" width="28.85546875" style="40" bestFit="1" customWidth="1"/>
    <col min="35" max="35" width="14.42578125" style="40" bestFit="1" customWidth="1"/>
    <col min="36" max="36" width="28.85546875" style="40" bestFit="1" customWidth="1"/>
    <col min="37" max="37" width="14.42578125" style="40" bestFit="1" customWidth="1"/>
    <col min="38" max="38" width="28.85546875" style="40" bestFit="1" customWidth="1"/>
    <col min="39" max="39" width="14.42578125" style="40" bestFit="1" customWidth="1"/>
    <col min="40" max="40" width="28.85546875" style="40" bestFit="1" customWidth="1"/>
    <col min="41" max="41" width="14.42578125" style="40" bestFit="1" customWidth="1"/>
    <col min="42" max="113" width="9.140625" style="40"/>
  </cols>
  <sheetData>
    <row r="2" spans="1:113" s="16" customFormat="1" ht="15.75" customHeight="1" x14ac:dyDescent="0.25">
      <c r="B2" s="17" t="s">
        <v>9</v>
      </c>
      <c r="C2" s="18" t="s">
        <v>10</v>
      </c>
      <c r="D2" s="18" t="s">
        <v>11</v>
      </c>
      <c r="E2" s="18" t="s">
        <v>12</v>
      </c>
      <c r="F2" s="54" t="s">
        <v>11</v>
      </c>
      <c r="G2" s="54" t="s">
        <v>12</v>
      </c>
      <c r="H2" s="18" t="s">
        <v>11</v>
      </c>
      <c r="I2" s="18" t="s">
        <v>12</v>
      </c>
      <c r="J2" s="18" t="s">
        <v>11</v>
      </c>
      <c r="K2" s="18" t="s">
        <v>12</v>
      </c>
      <c r="L2" s="19" t="s">
        <v>11</v>
      </c>
      <c r="M2" s="19" t="s">
        <v>12</v>
      </c>
      <c r="N2" s="19" t="s">
        <v>11</v>
      </c>
      <c r="O2" s="19" t="s">
        <v>12</v>
      </c>
      <c r="P2" s="19" t="s">
        <v>11</v>
      </c>
      <c r="Q2" s="19" t="s">
        <v>12</v>
      </c>
      <c r="R2" s="19" t="s">
        <v>11</v>
      </c>
      <c r="S2" s="19" t="s">
        <v>12</v>
      </c>
      <c r="T2" s="19" t="s">
        <v>11</v>
      </c>
      <c r="U2" s="19" t="s">
        <v>12</v>
      </c>
      <c r="V2" s="19" t="s">
        <v>11</v>
      </c>
      <c r="W2" s="19" t="s">
        <v>12</v>
      </c>
      <c r="X2" s="19" t="s">
        <v>11</v>
      </c>
      <c r="Y2" s="19" t="s">
        <v>12</v>
      </c>
      <c r="Z2" s="19" t="s">
        <v>11</v>
      </c>
      <c r="AA2" s="19" t="s">
        <v>12</v>
      </c>
      <c r="AB2" s="19" t="s">
        <v>11</v>
      </c>
      <c r="AC2" s="19" t="s">
        <v>12</v>
      </c>
      <c r="AD2" s="19" t="s">
        <v>11</v>
      </c>
      <c r="AE2" s="44" t="s">
        <v>12</v>
      </c>
      <c r="AF2" s="19" t="s">
        <v>11</v>
      </c>
      <c r="AG2" s="44" t="s">
        <v>12</v>
      </c>
      <c r="AH2" s="19" t="s">
        <v>11</v>
      </c>
      <c r="AI2" s="44" t="s">
        <v>12</v>
      </c>
      <c r="AJ2" s="19" t="s">
        <v>11</v>
      </c>
      <c r="AK2" s="19" t="s">
        <v>12</v>
      </c>
      <c r="AL2" s="19" t="s">
        <v>11</v>
      </c>
      <c r="AM2" s="19" t="s">
        <v>12</v>
      </c>
      <c r="AN2" s="19" t="s">
        <v>11</v>
      </c>
      <c r="AO2" s="19" t="s">
        <v>12</v>
      </c>
      <c r="AP2" s="39"/>
      <c r="AQ2" s="39"/>
      <c r="AR2" s="39"/>
      <c r="AS2" s="39"/>
      <c r="AT2" s="39"/>
      <c r="AU2" s="39"/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  <c r="CD2" s="39"/>
      <c r="CE2" s="39"/>
      <c r="CF2" s="39"/>
      <c r="CG2" s="39"/>
      <c r="CH2" s="39"/>
      <c r="CI2" s="39"/>
      <c r="CJ2" s="39"/>
      <c r="CK2" s="39"/>
      <c r="CL2" s="39"/>
      <c r="CM2" s="39"/>
      <c r="CN2" s="39"/>
      <c r="CO2" s="39"/>
      <c r="CP2" s="39"/>
      <c r="CQ2" s="39"/>
      <c r="CR2" s="39"/>
      <c r="CS2" s="39"/>
      <c r="CT2" s="39"/>
      <c r="CU2" s="39"/>
      <c r="CV2" s="39"/>
      <c r="CW2" s="39"/>
      <c r="CX2" s="39"/>
      <c r="CY2" s="39"/>
      <c r="CZ2" s="39"/>
      <c r="DA2" s="39"/>
      <c r="DB2" s="39"/>
      <c r="DC2" s="39"/>
      <c r="DD2" s="39"/>
      <c r="DE2" s="39"/>
      <c r="DF2" s="39"/>
      <c r="DG2" s="39"/>
      <c r="DH2" s="39"/>
      <c r="DI2" s="39"/>
    </row>
    <row r="3" spans="1:113" s="16" customFormat="1" ht="15.75" customHeight="1" x14ac:dyDescent="0.25">
      <c r="B3" s="27" t="s">
        <v>13</v>
      </c>
      <c r="C3" s="28"/>
      <c r="D3" s="52">
        <v>43619</v>
      </c>
      <c r="E3" s="51">
        <v>43619</v>
      </c>
      <c r="F3" s="52">
        <v>43620</v>
      </c>
      <c r="G3" s="53">
        <v>43620</v>
      </c>
      <c r="H3" s="55">
        <v>43621</v>
      </c>
      <c r="I3" s="55">
        <v>43621</v>
      </c>
      <c r="J3" s="20">
        <v>43622</v>
      </c>
      <c r="K3" s="21">
        <v>43622</v>
      </c>
      <c r="L3" s="22">
        <v>43623</v>
      </c>
      <c r="M3" s="23">
        <v>43623</v>
      </c>
      <c r="N3" s="22">
        <v>43626</v>
      </c>
      <c r="O3" s="23">
        <v>43626</v>
      </c>
      <c r="P3" s="22">
        <v>43627</v>
      </c>
      <c r="Q3" s="23">
        <v>43627</v>
      </c>
      <c r="R3" s="22">
        <v>43628</v>
      </c>
      <c r="S3" s="23">
        <v>43628</v>
      </c>
      <c r="T3" s="22">
        <v>43629</v>
      </c>
      <c r="U3" s="23">
        <v>43629</v>
      </c>
      <c r="V3" s="22">
        <v>43630</v>
      </c>
      <c r="W3" s="23">
        <v>43630</v>
      </c>
      <c r="X3" s="22">
        <v>43633</v>
      </c>
      <c r="Y3" s="23">
        <v>43633</v>
      </c>
      <c r="Z3" s="22">
        <v>43634</v>
      </c>
      <c r="AA3" s="23">
        <v>43634</v>
      </c>
      <c r="AB3" s="22">
        <v>43635</v>
      </c>
      <c r="AC3" s="24">
        <v>43635</v>
      </c>
      <c r="AD3" s="22">
        <v>43637</v>
      </c>
      <c r="AE3" s="23">
        <v>43637</v>
      </c>
      <c r="AF3" s="22">
        <v>43640</v>
      </c>
      <c r="AG3" s="23">
        <v>43640</v>
      </c>
      <c r="AH3" s="22">
        <v>43641</v>
      </c>
      <c r="AI3" s="23">
        <v>43641</v>
      </c>
      <c r="AJ3" s="22">
        <v>43642</v>
      </c>
      <c r="AK3" s="23">
        <v>43642</v>
      </c>
      <c r="AL3" s="22">
        <v>43643</v>
      </c>
      <c r="AM3" s="23">
        <v>43643</v>
      </c>
      <c r="AN3" s="22">
        <v>43644</v>
      </c>
      <c r="AO3" s="23">
        <v>43644</v>
      </c>
      <c r="AP3" s="39"/>
      <c r="AQ3" s="39"/>
      <c r="AR3" s="39"/>
      <c r="AS3" s="39"/>
      <c r="AT3" s="39"/>
      <c r="AU3" s="39"/>
      <c r="AV3" s="39"/>
      <c r="AW3" s="39"/>
      <c r="AX3" s="39"/>
      <c r="AY3" s="39"/>
      <c r="AZ3" s="39"/>
      <c r="BA3" s="39"/>
      <c r="BB3" s="39"/>
      <c r="BC3" s="39"/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39"/>
      <c r="BY3" s="39"/>
      <c r="BZ3" s="39"/>
      <c r="CA3" s="39"/>
      <c r="CB3" s="39"/>
      <c r="CC3" s="39"/>
      <c r="CD3" s="39"/>
      <c r="CE3" s="39"/>
      <c r="CF3" s="39"/>
      <c r="CG3" s="39"/>
      <c r="CH3" s="39"/>
      <c r="CI3" s="39"/>
      <c r="CJ3" s="39"/>
      <c r="CK3" s="39"/>
      <c r="CL3" s="39"/>
      <c r="CM3" s="39"/>
      <c r="CN3" s="39"/>
      <c r="CO3" s="39"/>
      <c r="CP3" s="39"/>
      <c r="CQ3" s="39"/>
      <c r="CR3" s="39"/>
      <c r="CS3" s="39"/>
      <c r="CT3" s="39"/>
      <c r="CU3" s="39"/>
      <c r="CV3" s="39"/>
      <c r="CW3" s="39"/>
      <c r="CX3" s="39"/>
      <c r="CY3" s="39"/>
      <c r="CZ3" s="39"/>
      <c r="DA3" s="39"/>
      <c r="DB3" s="39"/>
      <c r="DC3" s="39"/>
      <c r="DD3" s="39"/>
      <c r="DE3" s="39"/>
      <c r="DF3" s="39"/>
      <c r="DG3" s="39"/>
      <c r="DH3" s="39"/>
      <c r="DI3" s="39"/>
    </row>
    <row r="4" spans="1:113" s="34" customFormat="1" ht="16.5" customHeight="1" x14ac:dyDescent="0.25">
      <c r="A4" s="35" t="s">
        <v>14</v>
      </c>
      <c r="B4" s="29" t="s">
        <v>8</v>
      </c>
      <c r="C4" s="30">
        <v>49444</v>
      </c>
      <c r="D4" s="14">
        <v>4.09</v>
      </c>
      <c r="E4" s="15">
        <v>1707.8</v>
      </c>
      <c r="F4" s="14">
        <v>4.01</v>
      </c>
      <c r="G4" s="15">
        <v>1729.21</v>
      </c>
      <c r="H4" s="31">
        <v>4.05</v>
      </c>
      <c r="I4" s="32">
        <v>1719.08</v>
      </c>
      <c r="J4" s="31">
        <v>4.0599999999999996</v>
      </c>
      <c r="K4" s="32">
        <v>1716.86</v>
      </c>
      <c r="L4" s="31">
        <v>4.05</v>
      </c>
      <c r="M4" s="32">
        <v>1718.57</v>
      </c>
      <c r="N4" s="31">
        <v>4.05</v>
      </c>
      <c r="O4" s="32">
        <v>1718.91</v>
      </c>
      <c r="P4" s="31">
        <v>4.0199999999999996</v>
      </c>
      <c r="Q4" s="32">
        <v>1727.14</v>
      </c>
      <c r="R4" s="31">
        <v>4.01</v>
      </c>
      <c r="S4" s="32">
        <v>1730.12</v>
      </c>
      <c r="T4" s="31">
        <v>4.0199999999999996</v>
      </c>
      <c r="U4" s="32">
        <v>1727.83</v>
      </c>
      <c r="V4" s="31">
        <v>4.03</v>
      </c>
      <c r="W4" s="32">
        <v>1725.55</v>
      </c>
      <c r="X4" s="31">
        <v>4.01</v>
      </c>
      <c r="Y4" s="33">
        <v>1731.09</v>
      </c>
      <c r="Z4" s="31">
        <v>4</v>
      </c>
      <c r="AA4" s="32">
        <v>1734.01</v>
      </c>
      <c r="AB4" s="31">
        <v>4.01</v>
      </c>
      <c r="AC4" s="32">
        <v>1731.65</v>
      </c>
      <c r="AD4" s="31">
        <v>3.89</v>
      </c>
      <c r="AE4" s="32">
        <v>1763.91</v>
      </c>
      <c r="AF4" s="31">
        <v>3.89</v>
      </c>
      <c r="AG4" s="32">
        <v>1764.18</v>
      </c>
      <c r="AH4" s="31">
        <v>3.88</v>
      </c>
      <c r="AI4" s="32">
        <v>1767.15</v>
      </c>
      <c r="AJ4" s="31">
        <v>3.85</v>
      </c>
      <c r="AK4" s="32">
        <v>1775.24</v>
      </c>
      <c r="AL4" s="31">
        <v>3.84</v>
      </c>
      <c r="AM4" s="32">
        <v>1778.19</v>
      </c>
      <c r="AN4" s="31">
        <v>3.74</v>
      </c>
      <c r="AO4" s="32">
        <v>1805.73</v>
      </c>
      <c r="AP4" s="39"/>
      <c r="AQ4" s="39"/>
      <c r="AR4" s="39"/>
      <c r="AS4" s="39"/>
      <c r="AT4" s="39"/>
      <c r="AU4" s="39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39"/>
      <c r="BI4" s="39"/>
      <c r="BJ4" s="39"/>
      <c r="BK4" s="39"/>
      <c r="BL4" s="39"/>
      <c r="BM4" s="39"/>
      <c r="BN4" s="39"/>
      <c r="BO4" s="39"/>
      <c r="BP4" s="39"/>
      <c r="BQ4" s="39"/>
      <c r="BR4" s="39"/>
      <c r="BS4" s="39"/>
      <c r="BT4" s="39"/>
      <c r="BU4" s="39"/>
      <c r="BV4" s="39"/>
      <c r="BW4" s="39"/>
      <c r="BX4" s="39"/>
      <c r="BY4" s="39"/>
      <c r="BZ4" s="39"/>
      <c r="CA4" s="39"/>
      <c r="CB4" s="39"/>
      <c r="CC4" s="39"/>
      <c r="CD4" s="39"/>
      <c r="CE4" s="39"/>
      <c r="CF4" s="39"/>
      <c r="CG4" s="39"/>
      <c r="CH4" s="39"/>
      <c r="CI4" s="39"/>
      <c r="CJ4" s="39"/>
      <c r="CK4" s="39"/>
      <c r="CL4" s="39"/>
      <c r="CM4" s="39"/>
      <c r="CN4" s="39"/>
      <c r="CO4" s="39"/>
      <c r="CP4" s="39"/>
      <c r="CQ4" s="39"/>
      <c r="CR4" s="39"/>
      <c r="CS4" s="39"/>
      <c r="CT4" s="39"/>
      <c r="CU4" s="39"/>
      <c r="CV4" s="39"/>
      <c r="CW4" s="39"/>
      <c r="CX4" s="39"/>
      <c r="CY4" s="39"/>
      <c r="CZ4" s="39"/>
      <c r="DA4" s="39"/>
      <c r="DB4" s="39"/>
      <c r="DC4" s="39"/>
      <c r="DD4" s="39"/>
      <c r="DE4" s="39"/>
      <c r="DF4" s="39"/>
      <c r="DG4" s="39"/>
      <c r="DH4" s="39"/>
      <c r="DI4" s="39"/>
    </row>
    <row r="5" spans="1:113" s="39" customFormat="1" ht="15.75" customHeight="1" x14ac:dyDescent="0.25">
      <c r="A5" s="26" t="s">
        <v>15</v>
      </c>
      <c r="B5" s="25" t="s">
        <v>8</v>
      </c>
      <c r="C5" s="13">
        <v>49444</v>
      </c>
      <c r="D5" s="14">
        <v>3.97</v>
      </c>
      <c r="E5" s="15">
        <v>1739.41</v>
      </c>
      <c r="F5" s="14">
        <v>3.89</v>
      </c>
      <c r="G5" s="15">
        <v>1761.23</v>
      </c>
      <c r="H5" s="42">
        <v>3.93</v>
      </c>
      <c r="I5" s="43">
        <v>1750.89</v>
      </c>
      <c r="J5" s="42">
        <v>3.94</v>
      </c>
      <c r="K5" s="43">
        <v>1748.62</v>
      </c>
      <c r="L5" s="42">
        <v>3.93</v>
      </c>
      <c r="M5" s="15">
        <v>1750.35</v>
      </c>
      <c r="N5" s="42">
        <v>3.93</v>
      </c>
      <c r="O5" s="15">
        <v>1750.69</v>
      </c>
      <c r="P5" s="42">
        <v>3.9</v>
      </c>
      <c r="Q5" s="43">
        <v>1759.08</v>
      </c>
      <c r="R5" s="42">
        <v>3.89</v>
      </c>
      <c r="S5" s="43">
        <v>1762.11</v>
      </c>
      <c r="T5" s="42">
        <v>3.9</v>
      </c>
      <c r="U5" s="43">
        <v>1759.76</v>
      </c>
      <c r="V5" s="42">
        <v>3.91</v>
      </c>
      <c r="W5" s="43">
        <v>1757.42</v>
      </c>
      <c r="X5" s="42">
        <v>3.89</v>
      </c>
      <c r="Y5" s="48">
        <v>1763.07</v>
      </c>
      <c r="Z5" s="42">
        <v>3.88</v>
      </c>
      <c r="AA5" s="43">
        <v>1766.04</v>
      </c>
      <c r="AB5" s="42">
        <v>3.89</v>
      </c>
      <c r="AC5" s="43">
        <v>1763.63</v>
      </c>
      <c r="AD5" s="42">
        <v>3.77</v>
      </c>
      <c r="AE5" s="43">
        <v>1796.51</v>
      </c>
      <c r="AF5" s="42">
        <v>3.77</v>
      </c>
      <c r="AG5" s="43">
        <v>1796.78</v>
      </c>
      <c r="AH5" s="42">
        <v>3.76</v>
      </c>
      <c r="AI5" s="43">
        <v>1799.79</v>
      </c>
      <c r="AJ5" s="42">
        <v>3.73</v>
      </c>
      <c r="AK5" s="43">
        <v>1808.03</v>
      </c>
      <c r="AL5" s="42">
        <v>3.72</v>
      </c>
      <c r="AM5" s="43">
        <v>1811.04</v>
      </c>
      <c r="AN5" s="42">
        <v>3.62</v>
      </c>
      <c r="AO5" s="43">
        <v>1839.11</v>
      </c>
    </row>
    <row r="6" spans="1:113" s="40" customFormat="1" x14ac:dyDescent="0.25">
      <c r="A6" s="38" t="s">
        <v>16</v>
      </c>
      <c r="B6" s="50">
        <f>[3]GRAFICO!$AU$6+[3]GRAFICO!$B$6</f>
        <v>403.63889447671238</v>
      </c>
      <c r="C6" s="41">
        <v>43587</v>
      </c>
      <c r="D6" s="46">
        <v>5.45</v>
      </c>
      <c r="E6" s="45">
        <v>1.06</v>
      </c>
      <c r="F6" s="46">
        <f>D6+($B$6/G4)</f>
        <v>5.6834238724485244</v>
      </c>
      <c r="G6" s="45">
        <f>(((F4/365)*$B$7)/100)+E6</f>
        <v>1.1042559397720451</v>
      </c>
      <c r="H6" s="46">
        <f t="shared" ref="H6:H7" si="0">F6+($B$6/I4)</f>
        <v>5.9182232386657523</v>
      </c>
      <c r="I6" s="45">
        <f t="shared" ref="I6:I7" si="1">(((H4/365)*$B$7)/100)+G6</f>
        <v>1.1489533353024148</v>
      </c>
      <c r="J6" s="46">
        <f t="shared" ref="J6:J7" si="2">H6+($B$6/K4)</f>
        <v>6.1533262141423268</v>
      </c>
      <c r="K6" s="45">
        <f t="shared" ref="K6:K7" si="3">(((J4/365)*$B$7)/100)+I6</f>
        <v>1.1937610947723656</v>
      </c>
      <c r="L6" s="46">
        <f t="shared" ref="L6:L7" si="4">J6+($B$6/M4)</f>
        <v>6.3881952590323881</v>
      </c>
      <c r="M6" s="45">
        <f t="shared" ref="M6:M7" si="5">(((L4/365)*$B$7)/100)+K6</f>
        <v>1.2384584903027354</v>
      </c>
      <c r="N6" s="46">
        <f t="shared" ref="N6:N7" si="6">L6+($B$6/O4)</f>
        <v>6.623017846879752</v>
      </c>
      <c r="O6" s="45">
        <f t="shared" ref="O6:O7" si="7">(((N4/365)*$B$7)/100)+M6</f>
        <v>1.2831558858331051</v>
      </c>
      <c r="P6" s="46">
        <f t="shared" ref="P6:P7" si="8">N6+($B$6/Q4)</f>
        <v>6.8567214809086741</v>
      </c>
      <c r="Q6" s="45">
        <f t="shared" ref="Q6:Q7" si="9">(((P4/365)*$B$7)/100)+O6</f>
        <v>1.3275221895447313</v>
      </c>
      <c r="R6" s="46">
        <f t="shared" ref="R6:R7" si="10">P6+($B$6/S4)</f>
        <v>7.0900225782179431</v>
      </c>
      <c r="S6" s="45">
        <f t="shared" ref="S6:S7" si="11">(((R4/365)*$B$7)/100)+Q6</f>
        <v>1.3717781293167763</v>
      </c>
      <c r="T6" s="46">
        <f t="shared" ref="T6:T7" si="12">R6+($B$6/U4)</f>
        <v>7.3236328839058364</v>
      </c>
      <c r="U6" s="45">
        <f t="shared" ref="U6:U7" si="13">(((T4/365)*$B$7)/100)+S6</f>
        <v>1.4161444330284025</v>
      </c>
      <c r="V6" s="46">
        <f t="shared" ref="V6:V7" si="14">T6+($B$6/W4)</f>
        <v>7.5575518630584035</v>
      </c>
      <c r="W6" s="45">
        <f t="shared" ref="W6:W7" si="15">(((V4/365)*$B$7)/100)+U6</f>
        <v>1.4606211006796099</v>
      </c>
      <c r="X6" s="46">
        <f t="shared" ref="X6:X7" si="16">V6+($B$6/Y4)</f>
        <v>7.7907222322920724</v>
      </c>
      <c r="Y6" s="45">
        <f t="shared" ref="Y6:Y7" si="17">(((X4/365)*$B$7)/100)+W6</f>
        <v>1.5048770404516549</v>
      </c>
      <c r="Z6" s="46">
        <f t="shared" ref="Z6:Z7" si="18">X6+($B$6/AA4)</f>
        <v>8.0234999524186641</v>
      </c>
      <c r="AA6" s="45">
        <f t="shared" ref="AA6:AA7" si="19">(((Z4/365)*$B$7)/100)+Y6</f>
        <v>1.5490226162841187</v>
      </c>
      <c r="AB6" s="46">
        <f t="shared" ref="AB6:AB7" si="20">Z6+($B$6/AC4)</f>
        <v>8.2565949164568426</v>
      </c>
      <c r="AC6" s="45">
        <f t="shared" ref="AC6:AC7" si="21">(((AB4/365)*$B$7)/100)+AA6</f>
        <v>1.5932785560561638</v>
      </c>
      <c r="AD6" s="46">
        <f t="shared" ref="AD6:AD7" si="22">AB6+($B$6/AE4)</f>
        <v>8.4854268265184167</v>
      </c>
      <c r="AE6" s="45">
        <f t="shared" ref="AE6:AE7" si="23">(((AD4/365)*$B$7)/100)+AC6</f>
        <v>1.6362101285532349</v>
      </c>
      <c r="AF6" s="46">
        <f t="shared" ref="AF6:AF7" si="24">AD6+($B$6/AG4)</f>
        <v>8.71422371486128</v>
      </c>
      <c r="AG6" s="45">
        <f t="shared" ref="AG6:AG7" si="25">(((AF4/365)*$B$7)/100)+AE6</f>
        <v>1.679141701050306</v>
      </c>
      <c r="AH6" s="46">
        <f t="shared" ref="AH6:AH7" si="26">AF6+($B$6/AI4)</f>
        <v>8.9426360706186934</v>
      </c>
      <c r="AI6" s="45">
        <f t="shared" ref="AI6:AI7" si="27">(((AH4/365)*$B$7)/100)+AG6</f>
        <v>1.721962909607796</v>
      </c>
      <c r="AJ6" s="46">
        <f t="shared" ref="AJ6:AJ7" si="28">AH6+($B$6/AK4)</f>
        <v>9.1700075215079888</v>
      </c>
      <c r="AK6" s="45">
        <f t="shared" ref="AK6:AK7" si="29">(((AJ4/365)*$B$7)/100)+AI6</f>
        <v>1.7644530263465426</v>
      </c>
      <c r="AL6" s="46">
        <f t="shared" ref="AL6:AL7" si="30">AJ6+($B$6/AM4)</f>
        <v>9.3970017653608462</v>
      </c>
      <c r="AM6" s="45">
        <f t="shared" ref="AM6:AM7" si="31">(((AL4/365)*$B$7)/100)+AK6</f>
        <v>1.8068327791457079</v>
      </c>
      <c r="AN6" s="46">
        <f t="shared" ref="AN6:AN7" si="32">AL6+($B$6/AO4)</f>
        <v>9.6205340179549292</v>
      </c>
      <c r="AO6" s="45">
        <f t="shared" ref="AO6:AO7" si="33">(((AN4/365)*$B$7)/100)+AM6</f>
        <v>1.8481088925490616</v>
      </c>
      <c r="AP6" s="49">
        <f>AO6-E6</f>
        <v>0.78810889254906158</v>
      </c>
    </row>
    <row r="7" spans="1:113" x14ac:dyDescent="0.25">
      <c r="A7" s="38" t="s">
        <v>17</v>
      </c>
      <c r="B7" s="50">
        <f>[3]GRAFICO!$AU$7+[3]GRAFICO!$B$7</f>
        <v>402.82837947123289</v>
      </c>
      <c r="C7" s="41">
        <v>43587</v>
      </c>
      <c r="D7" s="46">
        <v>5.38</v>
      </c>
      <c r="E7" s="45">
        <v>1.04</v>
      </c>
      <c r="F7" s="46">
        <f>D7+($B$6/G5)</f>
        <v>5.6091801153039142</v>
      </c>
      <c r="G7" s="45">
        <f>(((F5/365)*$B$7)/100)+E7</f>
        <v>1.0829315724970712</v>
      </c>
      <c r="H7" s="46">
        <f t="shared" si="0"/>
        <v>5.8397136693688259</v>
      </c>
      <c r="I7" s="45">
        <f t="shared" si="1"/>
        <v>1.1263046007524669</v>
      </c>
      <c r="J7" s="46">
        <f t="shared" si="2"/>
        <v>6.0705464943832439</v>
      </c>
      <c r="K7" s="45">
        <f t="shared" si="3"/>
        <v>1.1697879929474437</v>
      </c>
      <c r="L7" s="46">
        <f t="shared" si="4"/>
        <v>6.3011511702918979</v>
      </c>
      <c r="M7" s="45">
        <f t="shared" si="5"/>
        <v>1.2131610212028394</v>
      </c>
      <c r="N7" s="46">
        <f t="shared" si="6"/>
        <v>6.531711060664672</v>
      </c>
      <c r="O7" s="45">
        <f t="shared" si="7"/>
        <v>1.2565340494582351</v>
      </c>
      <c r="P7" s="46">
        <f t="shared" si="8"/>
        <v>6.7611712867355225</v>
      </c>
      <c r="Q7" s="45">
        <f t="shared" si="9"/>
        <v>1.2995759858948874</v>
      </c>
      <c r="R7" s="46">
        <f t="shared" si="10"/>
        <v>6.9902369491951379</v>
      </c>
      <c r="S7" s="45">
        <f t="shared" si="11"/>
        <v>1.3425075583919586</v>
      </c>
      <c r="T7" s="46">
        <f t="shared" si="12"/>
        <v>7.2196085080876644</v>
      </c>
      <c r="U7" s="45">
        <f t="shared" si="13"/>
        <v>1.3855494948286109</v>
      </c>
      <c r="V7" s="46">
        <f t="shared" si="14"/>
        <v>7.4492854745935153</v>
      </c>
      <c r="W7" s="45">
        <f t="shared" si="15"/>
        <v>1.4287017952048444</v>
      </c>
      <c r="X7" s="46">
        <f t="shared" si="16"/>
        <v>7.678226409710506</v>
      </c>
      <c r="Y7" s="45">
        <f t="shared" si="17"/>
        <v>1.4716333677019156</v>
      </c>
      <c r="Z7" s="46">
        <f t="shared" si="18"/>
        <v>7.9067823283061847</v>
      </c>
      <c r="AA7" s="45">
        <f t="shared" si="19"/>
        <v>1.5144545762594055</v>
      </c>
      <c r="AB7" s="46">
        <f t="shared" si="20"/>
        <v>8.1356505685134355</v>
      </c>
      <c r="AC7" s="45">
        <f t="shared" si="21"/>
        <v>1.5573861487564766</v>
      </c>
      <c r="AD7" s="46">
        <f t="shared" si="22"/>
        <v>8.3603300272844479</v>
      </c>
      <c r="AE7" s="45">
        <f t="shared" si="23"/>
        <v>1.5989933539785739</v>
      </c>
      <c r="AF7" s="46">
        <f t="shared" si="24"/>
        <v>8.584975723739614</v>
      </c>
      <c r="AG7" s="45">
        <f t="shared" si="25"/>
        <v>1.6406005592006712</v>
      </c>
      <c r="AH7" s="46">
        <f t="shared" si="26"/>
        <v>8.8092457188372162</v>
      </c>
      <c r="AI7" s="45">
        <f t="shared" si="27"/>
        <v>1.6820974004831872</v>
      </c>
      <c r="AJ7" s="46">
        <f t="shared" si="28"/>
        <v>9.0324936154300346</v>
      </c>
      <c r="AK7" s="45">
        <f t="shared" si="29"/>
        <v>1.7232631499469597</v>
      </c>
      <c r="AL7" s="46">
        <f t="shared" si="30"/>
        <v>9.2553704676678166</v>
      </c>
      <c r="AM7" s="45">
        <f t="shared" si="31"/>
        <v>1.764318535471151</v>
      </c>
      <c r="AN7" s="46">
        <f t="shared" si="32"/>
        <v>9.4748455912203564</v>
      </c>
      <c r="AO7" s="45">
        <f t="shared" si="33"/>
        <v>1.8042702815995308</v>
      </c>
      <c r="AP7" s="49">
        <f>AO7-E7</f>
        <v>0.76427028159953081</v>
      </c>
    </row>
    <row r="8" spans="1:113" x14ac:dyDescent="0.25">
      <c r="AP8" s="49">
        <f>AP6-AP7</f>
        <v>2.383861094953077E-2</v>
      </c>
    </row>
    <row r="10" spans="1:113" x14ac:dyDescent="0.25">
      <c r="AC10" s="6"/>
    </row>
    <row r="11" spans="1:113" x14ac:dyDescent="0.25">
      <c r="AC11" s="6"/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020519</vt:lpstr>
      <vt:lpstr>GRAFICO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2019-07-02T16:23:49Z</dcterms:modified>
</cp:coreProperties>
</file>