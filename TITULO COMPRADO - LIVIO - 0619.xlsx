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<sst xmlns="http://schemas.openxmlformats.org/spreadsheetml/2006/main" count="70" uniqueCount="26">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</sst>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wrapText="1"/>
    </xf>
    <xf numFmtId="8" fontId="3" fillId="3" borderId="7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1970320"/>
        <c:axId val="-102196705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</c:v>
                      </c:pt>
                      <c:pt idx="3" formatCode="0.00">
                        <c:v>0</c:v>
                      </c:pt>
                      <c:pt idx="4" formatCode="0.00">
                        <c:v>0</c:v>
                      </c:pt>
                      <c:pt idx="5" formatCode="0.00">
                        <c:v>0</c:v>
                      </c:pt>
                      <c:pt idx="6" formatCode="0.00">
                        <c:v>0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</c:v>
                      </c:pt>
                      <c:pt idx="3" formatCode="0.00">
                        <c:v>0</c:v>
                      </c:pt>
                      <c:pt idx="4" formatCode="0.00">
                        <c:v>0</c:v>
                      </c:pt>
                      <c:pt idx="5" formatCode="0.00">
                        <c:v>0</c:v>
                      </c:pt>
                      <c:pt idx="6" formatCode="0.00">
                        <c:v>0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197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67056"/>
        <c:crosses val="autoZero"/>
        <c:auto val="1"/>
        <c:lblAlgn val="ctr"/>
        <c:lblOffset val="100"/>
        <c:noMultiLvlLbl val="0"/>
      </c:catAx>
      <c:valAx>
        <c:axId val="-102196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7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1977392"/>
        <c:axId val="-1021976848"/>
      </c:lineChart>
      <c:catAx>
        <c:axId val="-102197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76848"/>
        <c:crosses val="autoZero"/>
        <c:auto val="1"/>
        <c:lblAlgn val="ctr"/>
        <c:lblOffset val="100"/>
        <c:noMultiLvlLbl val="0"/>
      </c:catAx>
      <c:valAx>
        <c:axId val="-102197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7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</c:v>
                </c:pt>
                <c:pt idx="3" formatCode="0.00">
                  <c:v>0</c:v>
                </c:pt>
                <c:pt idx="4" formatCode="0.00">
                  <c:v>0</c:v>
                </c:pt>
                <c:pt idx="5" formatCode="0.00">
                  <c:v>0</c:v>
                </c:pt>
                <c:pt idx="6" formatCode="0.00">
                  <c:v>0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</c:v>
                </c:pt>
                <c:pt idx="3" formatCode="0.00">
                  <c:v>0</c:v>
                </c:pt>
                <c:pt idx="4" formatCode="0.00">
                  <c:v>0</c:v>
                </c:pt>
                <c:pt idx="5" formatCode="0.00">
                  <c:v>0</c:v>
                </c:pt>
                <c:pt idx="6" formatCode="0.00">
                  <c:v>0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1979568"/>
        <c:axId val="-10219779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197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77936"/>
        <c:crosses val="autoZero"/>
        <c:auto val="1"/>
        <c:lblAlgn val="ctr"/>
        <c:lblOffset val="100"/>
        <c:noMultiLvlLbl val="0"/>
      </c:catAx>
      <c:valAx>
        <c:axId val="-102197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7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8.9394791060739359E-2</c:v>
                </c:pt>
                <c:pt idx="3" formatCode="_(&quot;R$&quot;* #,##0.00_);_(&quot;R$&quot;* \(#,##0.00\);_(&quot;R$&quot;* &quot;-&quot;??_);_(@_)">
                  <c:v>8.9394791060739359E-2</c:v>
                </c:pt>
                <c:pt idx="4" formatCode="_(&quot;R$&quot;* #,##0.00_);_(&quot;R$&quot;* \(#,##0.00\);_(&quot;R$&quot;* &quot;-&quot;??_);_(@_)">
                  <c:v>8.9394791060739359E-2</c:v>
                </c:pt>
                <c:pt idx="5" formatCode="_(&quot;R$&quot;* #,##0.00_);_(&quot;R$&quot;* \(#,##0.00\);_(&quot;R$&quot;* &quot;-&quot;??_);_(@_)">
                  <c:v>8.9394791060739359E-2</c:v>
                </c:pt>
                <c:pt idx="6" formatCode="_(&quot;R$&quot;* #,##0.00_);_(&quot;R$&quot;* \(#,##0.00\);_(&quot;R$&quot;* &quot;-&quot;??_);_(@_)">
                  <c:v>8.9394791060739359E-2</c:v>
                </c:pt>
                <c:pt idx="7" formatCode="_(&quot;R$&quot;* #,##0.00_);_(&quot;R$&quot;* \(#,##0.00\);_(&quot;R$&quot;* &quot;-&quot;??_);_(@_)">
                  <c:v>8.9394791060739359E-2</c:v>
                </c:pt>
                <c:pt idx="8" formatCode="_(&quot;R$&quot;* #,##0.00_);_(&quot;R$&quot;* \(#,##0.00\);_(&quot;R$&quot;* &quot;-&quot;??_);_(@_)">
                  <c:v>8.9394791060739359E-2</c:v>
                </c:pt>
                <c:pt idx="9" formatCode="_(&quot;R$&quot;* #,##0.00_);_(&quot;R$&quot;* \(#,##0.00\);_(&quot;R$&quot;* &quot;-&quot;??_);_(@_)">
                  <c:v>8.9394791060739359E-2</c:v>
                </c:pt>
                <c:pt idx="10" formatCode="_(&quot;R$&quot;* #,##0.00_);_(&quot;R$&quot;* \(#,##0.00\);_(&quot;R$&quot;* &quot;-&quot;??_);_(@_)">
                  <c:v>8.9394791060739359E-2</c:v>
                </c:pt>
                <c:pt idx="11" formatCode="_(&quot;R$&quot;* #,##0.00_);_(&quot;R$&quot;* \(#,##0.00\);_(&quot;R$&quot;* &quot;-&quot;??_);_(@_)">
                  <c:v>8.9394791060739359E-2</c:v>
                </c:pt>
                <c:pt idx="12" formatCode="_(&quot;R$&quot;* #,##0.00_);_(&quot;R$&quot;* \(#,##0.00\);_(&quot;R$&quot;* &quot;-&quot;??_);_(@_)">
                  <c:v>8.9394791060739359E-2</c:v>
                </c:pt>
                <c:pt idx="13" formatCode="_(&quot;R$&quot;* #,##0.00_);_(&quot;R$&quot;* \(#,##0.00\);_(&quot;R$&quot;* &quot;-&quot;??_);_(@_)">
                  <c:v>8.9394791060739359E-2</c:v>
                </c:pt>
                <c:pt idx="14" formatCode="_(&quot;R$&quot;* #,##0.00_);_(&quot;R$&quot;* \(#,##0.00\);_(&quot;R$&quot;* &quot;-&quot;??_);_(@_)">
                  <c:v>8.9394791060739359E-2</c:v>
                </c:pt>
                <c:pt idx="15" formatCode="_(&quot;R$&quot;* #,##0.00_);_(&quot;R$&quot;* \(#,##0.00\);_(&quot;R$&quot;* &quot;-&quot;??_);_(@_)">
                  <c:v>8.9394791060739359E-2</c:v>
                </c:pt>
                <c:pt idx="16" formatCode="_(&quot;R$&quot;* #,##0.00_);_(&quot;R$&quot;* \(#,##0.00\);_(&quot;R$&quot;* &quot;-&quot;??_);_(@_)">
                  <c:v>8.9394791060739359E-2</c:v>
                </c:pt>
                <c:pt idx="17" formatCode="_(&quot;R$&quot;* #,##0.00_);_(&quot;R$&quot;* \(#,##0.00\);_(&quot;R$&quot;* &quot;-&quot;??_);_(@_)">
                  <c:v>8.9394791060739359E-2</c:v>
                </c:pt>
                <c:pt idx="18" formatCode="_(&quot;R$&quot;* #,##0.00_);_(&quot;R$&quot;* \(#,##0.00\);_(&quot;R$&quot;* &quot;-&quot;??_);_(@_)">
                  <c:v>8.9394791060739359E-2</c:v>
                </c:pt>
                <c:pt idx="19" formatCode="_(&quot;R$&quot;* #,##0.00_);_(&quot;R$&quot;* \(#,##0.00\);_(&quot;R$&quot;* &quot;-&quot;??_);_(@_)">
                  <c:v>8.9394791060739359E-2</c:v>
                </c:pt>
                <c:pt idx="20" formatCode="_(&quot;R$&quot;* #,##0.00_);_(&quot;R$&quot;* \(#,##0.00\);_(&quot;R$&quot;* &quot;-&quot;??_);_(@_)">
                  <c:v>8.9394791060739359E-2</c:v>
                </c:pt>
                <c:pt idx="21" formatCode="_(&quot;R$&quot;* #,##0.00_);_(&quot;R$&quot;* \(#,##0.00\);_(&quot;R$&quot;* &quot;-&quot;??_);_(@_)">
                  <c:v>8.9394791060739359E-2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8.6746056510791536E-2</c:v>
                </c:pt>
                <c:pt idx="3" formatCode="_(&quot;R$&quot;* #,##0.00_);_(&quot;R$&quot;* \(#,##0.00\);_(&quot;R$&quot;* &quot;-&quot;??_);_(@_)">
                  <c:v>8.6746056510791536E-2</c:v>
                </c:pt>
                <c:pt idx="4" formatCode="_(&quot;R$&quot;* #,##0.00_);_(&quot;R$&quot;* \(#,##0.00\);_(&quot;R$&quot;* &quot;-&quot;??_);_(@_)">
                  <c:v>8.6746056510791536E-2</c:v>
                </c:pt>
                <c:pt idx="5" formatCode="_(&quot;R$&quot;* #,##0.00_);_(&quot;R$&quot;* \(#,##0.00\);_(&quot;R$&quot;* &quot;-&quot;??_);_(@_)">
                  <c:v>8.6746056510791536E-2</c:v>
                </c:pt>
                <c:pt idx="6" formatCode="_(&quot;R$&quot;* #,##0.00_);_(&quot;R$&quot;* \(#,##0.00\);_(&quot;R$&quot;* &quot;-&quot;??_);_(@_)">
                  <c:v>8.6746056510791536E-2</c:v>
                </c:pt>
                <c:pt idx="7" formatCode="_(&quot;R$&quot;* #,##0.00_);_(&quot;R$&quot;* \(#,##0.00\);_(&quot;R$&quot;* &quot;-&quot;??_);_(@_)">
                  <c:v>8.6746056510791536E-2</c:v>
                </c:pt>
                <c:pt idx="8" formatCode="_(&quot;R$&quot;* #,##0.00_);_(&quot;R$&quot;* \(#,##0.00\);_(&quot;R$&quot;* &quot;-&quot;??_);_(@_)">
                  <c:v>8.6746056510791536E-2</c:v>
                </c:pt>
                <c:pt idx="9" formatCode="_(&quot;R$&quot;* #,##0.00_);_(&quot;R$&quot;* \(#,##0.00\);_(&quot;R$&quot;* &quot;-&quot;??_);_(@_)">
                  <c:v>8.6746056510791536E-2</c:v>
                </c:pt>
                <c:pt idx="10" formatCode="_(&quot;R$&quot;* #,##0.00_);_(&quot;R$&quot;* \(#,##0.00\);_(&quot;R$&quot;* &quot;-&quot;??_);_(@_)">
                  <c:v>8.6746056510791536E-2</c:v>
                </c:pt>
                <c:pt idx="11" formatCode="_(&quot;R$&quot;* #,##0.00_);_(&quot;R$&quot;* \(#,##0.00\);_(&quot;R$&quot;* &quot;-&quot;??_);_(@_)">
                  <c:v>8.6746056510791536E-2</c:v>
                </c:pt>
                <c:pt idx="12" formatCode="_(&quot;R$&quot;* #,##0.00_);_(&quot;R$&quot;* \(#,##0.00\);_(&quot;R$&quot;* &quot;-&quot;??_);_(@_)">
                  <c:v>8.6746056510791536E-2</c:v>
                </c:pt>
                <c:pt idx="13" formatCode="_(&quot;R$&quot;* #,##0.00_);_(&quot;R$&quot;* \(#,##0.00\);_(&quot;R$&quot;* &quot;-&quot;??_);_(@_)">
                  <c:v>8.6746056510791536E-2</c:v>
                </c:pt>
                <c:pt idx="14" formatCode="_(&quot;R$&quot;* #,##0.00_);_(&quot;R$&quot;* \(#,##0.00\);_(&quot;R$&quot;* &quot;-&quot;??_);_(@_)">
                  <c:v>8.6746056510791536E-2</c:v>
                </c:pt>
                <c:pt idx="15" formatCode="_(&quot;R$&quot;* #,##0.00_);_(&quot;R$&quot;* \(#,##0.00\);_(&quot;R$&quot;* &quot;-&quot;??_);_(@_)">
                  <c:v>8.6746056510791536E-2</c:v>
                </c:pt>
                <c:pt idx="16" formatCode="_(&quot;R$&quot;* #,##0.00_);_(&quot;R$&quot;* \(#,##0.00\);_(&quot;R$&quot;* &quot;-&quot;??_);_(@_)">
                  <c:v>8.6746056510791536E-2</c:v>
                </c:pt>
                <c:pt idx="17" formatCode="_(&quot;R$&quot;* #,##0.00_);_(&quot;R$&quot;* \(#,##0.00\);_(&quot;R$&quot;* &quot;-&quot;??_);_(@_)">
                  <c:v>8.6746056510791536E-2</c:v>
                </c:pt>
                <c:pt idx="18" formatCode="_(&quot;R$&quot;* #,##0.00_);_(&quot;R$&quot;* \(#,##0.00\);_(&quot;R$&quot;* &quot;-&quot;??_);_(@_)">
                  <c:v>8.6746056510791536E-2</c:v>
                </c:pt>
                <c:pt idx="19" formatCode="_(&quot;R$&quot;* #,##0.00_);_(&quot;R$&quot;* \(#,##0.00\);_(&quot;R$&quot;* &quot;-&quot;??_);_(@_)">
                  <c:v>8.6746056510791536E-2</c:v>
                </c:pt>
                <c:pt idx="20" formatCode="_(&quot;R$&quot;* #,##0.00_);_(&quot;R$&quot;* \(#,##0.00\);_(&quot;R$&quot;* &quot;-&quot;??_);_(@_)">
                  <c:v>8.6746056510791536E-2</c:v>
                </c:pt>
                <c:pt idx="21" formatCode="_(&quot;R$&quot;* #,##0.00_);_(&quot;R$&quot;* \(#,##0.00\);_(&quot;R$&quot;* &quot;-&quot;??_);_(@_)">
                  <c:v>8.6746056510791536E-2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1975760"/>
        <c:axId val="-1021969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197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69776"/>
        <c:crosses val="autoZero"/>
        <c:auto val="1"/>
        <c:lblAlgn val="ctr"/>
        <c:lblOffset val="100"/>
        <c:noMultiLvlLbl val="0"/>
      </c:catAx>
      <c:valAx>
        <c:axId val="-10219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7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52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41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42"/>
    </row>
    <row r="11" spans="1:8" x14ac:dyDescent="0.25">
      <c r="D11" s="12"/>
      <c r="E11" s="41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workbookViewId="0">
      <selection activeCell="F4" sqref="F4:G4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5" bestFit="1" customWidth="1"/>
    <col min="33" max="33" width="14.42578125" style="45" bestFit="1" customWidth="1"/>
    <col min="34" max="34" width="28.85546875" style="45" bestFit="1" customWidth="1"/>
    <col min="35" max="35" width="14.42578125" style="45" bestFit="1" customWidth="1"/>
    <col min="36" max="36" width="28.85546875" style="45" bestFit="1" customWidth="1"/>
    <col min="37" max="37" width="14.42578125" style="45" bestFit="1" customWidth="1"/>
    <col min="38" max="38" width="28.85546875" style="45" bestFit="1" customWidth="1"/>
    <col min="39" max="39" width="14.42578125" style="45" bestFit="1" customWidth="1"/>
    <col min="40" max="40" width="28.85546875" style="45" bestFit="1" customWidth="1"/>
    <col min="41" max="41" width="14.42578125" style="45" bestFit="1" customWidth="1"/>
    <col min="42" max="42" width="28.85546875" style="45" bestFit="1" customWidth="1"/>
    <col min="43" max="43" width="14.42578125" style="45" bestFit="1" customWidth="1"/>
    <col min="44" max="44" width="28.85546875" style="45" bestFit="1" customWidth="1"/>
    <col min="45" max="45" width="14.42578125" style="45" bestFit="1" customWidth="1"/>
    <col min="46" max="46" width="28.85546875" style="45" bestFit="1" customWidth="1"/>
    <col min="47" max="47" width="14.42578125" style="45" bestFit="1" customWidth="1"/>
    <col min="48" max="119" width="9.140625" style="45"/>
  </cols>
  <sheetData>
    <row r="2" spans="1:119" s="18" customFormat="1" ht="15.75" customHeight="1" x14ac:dyDescent="0.25">
      <c r="B2" s="19" t="s">
        <v>9</v>
      </c>
      <c r="C2" s="20" t="s">
        <v>10</v>
      </c>
      <c r="D2" s="20" t="s">
        <v>11</v>
      </c>
      <c r="E2" s="20" t="s">
        <v>12</v>
      </c>
      <c r="F2" s="59" t="s">
        <v>11</v>
      </c>
      <c r="G2" s="59" t="s">
        <v>12</v>
      </c>
      <c r="H2" s="20" t="s">
        <v>11</v>
      </c>
      <c r="I2" s="20" t="s">
        <v>12</v>
      </c>
      <c r="J2" s="20" t="s">
        <v>11</v>
      </c>
      <c r="K2" s="20" t="s">
        <v>12</v>
      </c>
      <c r="L2" s="21" t="s">
        <v>11</v>
      </c>
      <c r="M2" s="21" t="s">
        <v>12</v>
      </c>
      <c r="N2" s="21" t="s">
        <v>11</v>
      </c>
      <c r="O2" s="21" t="s">
        <v>12</v>
      </c>
      <c r="P2" s="21" t="s">
        <v>11</v>
      </c>
      <c r="Q2" s="21" t="s">
        <v>12</v>
      </c>
      <c r="R2" s="21" t="s">
        <v>11</v>
      </c>
      <c r="S2" s="21" t="s">
        <v>12</v>
      </c>
      <c r="T2" s="21" t="s">
        <v>11</v>
      </c>
      <c r="U2" s="21" t="s">
        <v>12</v>
      </c>
      <c r="V2" s="21" t="s">
        <v>11</v>
      </c>
      <c r="W2" s="21" t="s">
        <v>12</v>
      </c>
      <c r="X2" s="21" t="s">
        <v>11</v>
      </c>
      <c r="Y2" s="21" t="s">
        <v>12</v>
      </c>
      <c r="Z2" s="21" t="s">
        <v>11</v>
      </c>
      <c r="AA2" s="21" t="s">
        <v>12</v>
      </c>
      <c r="AB2" s="21" t="s">
        <v>11</v>
      </c>
      <c r="AC2" s="21" t="s">
        <v>12</v>
      </c>
      <c r="AD2" s="21" t="s">
        <v>11</v>
      </c>
      <c r="AE2" s="49" t="s">
        <v>12</v>
      </c>
      <c r="AF2" s="21" t="s">
        <v>11</v>
      </c>
      <c r="AG2" s="49" t="s">
        <v>12</v>
      </c>
      <c r="AH2" s="21" t="s">
        <v>11</v>
      </c>
      <c r="AI2" s="49" t="s">
        <v>12</v>
      </c>
      <c r="AJ2" s="21" t="s">
        <v>11</v>
      </c>
      <c r="AK2" s="21" t="s">
        <v>12</v>
      </c>
      <c r="AL2" s="21" t="s">
        <v>11</v>
      </c>
      <c r="AM2" s="21" t="s">
        <v>12</v>
      </c>
      <c r="AN2" s="21" t="s">
        <v>11</v>
      </c>
      <c r="AO2" s="21" t="s">
        <v>12</v>
      </c>
      <c r="AP2" s="21" t="s">
        <v>11</v>
      </c>
      <c r="AQ2" s="21" t="s">
        <v>12</v>
      </c>
      <c r="AR2" s="21" t="s">
        <v>11</v>
      </c>
      <c r="AS2" s="21" t="s">
        <v>12</v>
      </c>
      <c r="AT2" s="21" t="s">
        <v>11</v>
      </c>
      <c r="AU2" s="21" t="s">
        <v>12</v>
      </c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</row>
    <row r="3" spans="1:119" s="18" customFormat="1" ht="15.75" customHeight="1" x14ac:dyDescent="0.25">
      <c r="B3" s="30" t="s">
        <v>13</v>
      </c>
      <c r="C3" s="31"/>
      <c r="D3" s="57">
        <v>43619</v>
      </c>
      <c r="E3" s="56">
        <v>43619</v>
      </c>
      <c r="F3" s="57">
        <v>43620</v>
      </c>
      <c r="G3" s="58">
        <v>43620</v>
      </c>
      <c r="H3" s="22"/>
      <c r="I3" s="22"/>
      <c r="J3" s="23"/>
      <c r="K3" s="24"/>
      <c r="L3" s="25"/>
      <c r="M3" s="26"/>
      <c r="N3" s="25"/>
      <c r="O3" s="26"/>
      <c r="P3" s="25"/>
      <c r="Q3" s="26"/>
      <c r="R3" s="25"/>
      <c r="S3" s="26"/>
      <c r="T3" s="25"/>
      <c r="U3" s="26"/>
      <c r="V3" s="25"/>
      <c r="W3" s="26"/>
      <c r="X3" s="25"/>
      <c r="Y3" s="26"/>
      <c r="Z3" s="25"/>
      <c r="AA3" s="26"/>
      <c r="AB3" s="25"/>
      <c r="AC3" s="27"/>
      <c r="AD3" s="25"/>
      <c r="AE3" s="26"/>
      <c r="AF3" s="25"/>
      <c r="AG3" s="26"/>
      <c r="AH3" s="25"/>
      <c r="AI3" s="26"/>
      <c r="AJ3" s="25"/>
      <c r="AK3" s="26"/>
      <c r="AL3" s="25"/>
      <c r="AM3" s="26"/>
      <c r="AN3" s="25"/>
      <c r="AO3" s="26"/>
      <c r="AP3" s="25"/>
      <c r="AQ3" s="26"/>
      <c r="AR3" s="25"/>
      <c r="AS3" s="26"/>
      <c r="AT3" s="25"/>
      <c r="AU3" s="26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  <c r="CD3" s="44"/>
      <c r="CE3" s="44"/>
      <c r="CF3" s="44"/>
      <c r="CG3" s="44"/>
      <c r="CH3" s="44"/>
      <c r="CI3" s="44"/>
      <c r="CJ3" s="44"/>
      <c r="CK3" s="44"/>
      <c r="CL3" s="44"/>
      <c r="CM3" s="44"/>
      <c r="CN3" s="44"/>
      <c r="CO3" s="44"/>
      <c r="CP3" s="44"/>
      <c r="CQ3" s="44"/>
      <c r="CR3" s="44"/>
      <c r="CS3" s="44"/>
      <c r="CT3" s="44"/>
      <c r="CU3" s="44"/>
      <c r="CV3" s="44"/>
      <c r="CW3" s="44"/>
      <c r="CX3" s="44"/>
      <c r="CY3" s="44"/>
      <c r="CZ3" s="44"/>
      <c r="DA3" s="44"/>
      <c r="DB3" s="44"/>
      <c r="DC3" s="44"/>
      <c r="DD3" s="44"/>
      <c r="DE3" s="44"/>
      <c r="DF3" s="44"/>
      <c r="DG3" s="44"/>
      <c r="DH3" s="44"/>
      <c r="DI3" s="44"/>
      <c r="DJ3" s="44"/>
      <c r="DK3" s="44"/>
      <c r="DL3" s="44"/>
      <c r="DM3" s="44"/>
      <c r="DN3" s="44"/>
      <c r="DO3" s="44"/>
    </row>
    <row r="4" spans="1:119" s="39" customFormat="1" ht="16.5" customHeight="1" x14ac:dyDescent="0.25">
      <c r="A4" s="40" t="s">
        <v>14</v>
      </c>
      <c r="B4" s="32" t="s">
        <v>8</v>
      </c>
      <c r="C4" s="33">
        <v>49444</v>
      </c>
      <c r="D4" s="16">
        <v>4.09</v>
      </c>
      <c r="E4" s="17">
        <v>1707.8</v>
      </c>
      <c r="F4" s="16">
        <v>4.01</v>
      </c>
      <c r="G4" s="17">
        <v>1729.21</v>
      </c>
      <c r="H4" s="34"/>
      <c r="I4" s="35"/>
      <c r="J4" s="36"/>
      <c r="K4" s="37"/>
      <c r="L4" s="36"/>
      <c r="M4" s="37"/>
      <c r="N4" s="36"/>
      <c r="O4" s="37"/>
      <c r="P4" s="36"/>
      <c r="Q4" s="37"/>
      <c r="R4" s="36"/>
      <c r="S4" s="37"/>
      <c r="T4" s="36"/>
      <c r="U4" s="37"/>
      <c r="V4" s="36"/>
      <c r="W4" s="37"/>
      <c r="X4" s="36"/>
      <c r="Y4" s="37"/>
      <c r="Z4" s="36"/>
      <c r="AA4" s="38"/>
      <c r="AB4" s="36"/>
      <c r="AC4" s="37"/>
      <c r="AD4" s="36"/>
      <c r="AE4" s="37"/>
      <c r="AF4" s="36"/>
      <c r="AG4" s="37"/>
      <c r="AH4" s="36"/>
      <c r="AI4" s="37"/>
      <c r="AJ4" s="36"/>
      <c r="AK4" s="37"/>
      <c r="AL4" s="36"/>
      <c r="AM4" s="37"/>
      <c r="AN4" s="36"/>
      <c r="AO4" s="38"/>
      <c r="AP4" s="36"/>
      <c r="AQ4" s="37"/>
      <c r="AR4" s="36"/>
      <c r="AS4" s="37"/>
      <c r="AT4" s="36"/>
      <c r="AU4" s="37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  <c r="DD4" s="44"/>
      <c r="DE4" s="44"/>
      <c r="DF4" s="44"/>
      <c r="DG4" s="44"/>
      <c r="DH4" s="44"/>
      <c r="DI4" s="44"/>
      <c r="DJ4" s="44"/>
      <c r="DK4" s="44"/>
      <c r="DL4" s="44"/>
      <c r="DM4" s="44"/>
      <c r="DN4" s="44"/>
      <c r="DO4" s="44"/>
    </row>
    <row r="5" spans="1:119" s="44" customFormat="1" ht="15.75" customHeight="1" x14ac:dyDescent="0.25">
      <c r="A5" s="29" t="s">
        <v>15</v>
      </c>
      <c r="B5" s="28" t="s">
        <v>8</v>
      </c>
      <c r="C5" s="13">
        <v>49444</v>
      </c>
      <c r="D5" s="16">
        <v>3.97</v>
      </c>
      <c r="E5" s="17">
        <v>1739.41</v>
      </c>
      <c r="F5" s="16">
        <v>3.89</v>
      </c>
      <c r="G5" s="17">
        <v>1761.23</v>
      </c>
      <c r="H5" s="14"/>
      <c r="I5" s="15"/>
      <c r="J5" s="16"/>
      <c r="K5" s="17"/>
      <c r="L5" s="16"/>
      <c r="M5" s="17"/>
      <c r="N5" s="16"/>
      <c r="O5" s="17"/>
      <c r="P5" s="16"/>
      <c r="Q5" s="17"/>
      <c r="R5" s="16"/>
      <c r="S5" s="17"/>
      <c r="T5" s="16"/>
      <c r="U5" s="17"/>
      <c r="V5" s="16"/>
      <c r="W5" s="17"/>
      <c r="X5" s="16"/>
      <c r="Y5" s="17"/>
      <c r="Z5" s="16"/>
      <c r="AA5" s="17"/>
      <c r="AB5" s="16"/>
      <c r="AC5" s="17"/>
      <c r="AD5" s="47"/>
      <c r="AE5" s="48"/>
      <c r="AF5" s="47"/>
      <c r="AG5" s="48"/>
      <c r="AH5" s="47"/>
      <c r="AI5" s="17"/>
      <c r="AJ5" s="47"/>
      <c r="AK5" s="48"/>
      <c r="AL5" s="47"/>
      <c r="AM5" s="48"/>
      <c r="AN5" s="47"/>
      <c r="AO5" s="53"/>
      <c r="AP5" s="47"/>
      <c r="AQ5" s="48"/>
      <c r="AR5" s="47"/>
      <c r="AS5" s="48"/>
      <c r="AT5" s="47"/>
      <c r="AU5" s="48"/>
    </row>
    <row r="6" spans="1:119" s="45" customFormat="1" x14ac:dyDescent="0.25">
      <c r="A6" s="43" t="s">
        <v>16</v>
      </c>
      <c r="B6" s="55">
        <f>[3]GRAFICO!$AU$6+[3]GRAFICO!$B$6</f>
        <v>403.63889447671238</v>
      </c>
      <c r="C6" s="46">
        <v>43587</v>
      </c>
      <c r="D6" s="51">
        <f>$B$6/E4</f>
        <v>0.23635021341885021</v>
      </c>
      <c r="E6" s="50">
        <f>(((D4/365)*$B$7)/100)</f>
        <v>4.5138851288694319E-2</v>
      </c>
      <c r="F6" s="51">
        <f>$B$6/G4</f>
        <v>0.23342387244852411</v>
      </c>
      <c r="G6" s="50">
        <f>(((F4/365)*$B$7)/100)+E6</f>
        <v>8.9394791060739359E-2</v>
      </c>
      <c r="H6" s="51" t="e">
        <f t="shared" ref="H6" si="0">$B$6/I4</f>
        <v>#DIV/0!</v>
      </c>
      <c r="I6" s="50">
        <f t="shared" ref="I6:I7" si="1">(((H4/365)*$B$7)/100)+G6</f>
        <v>8.9394791060739359E-2</v>
      </c>
      <c r="J6" s="51" t="e">
        <f t="shared" ref="J6" si="2">$B$6/K4</f>
        <v>#DIV/0!</v>
      </c>
      <c r="K6" s="50">
        <f t="shared" ref="K6:K7" si="3">(((J4/365)*$B$7)/100)+I6</f>
        <v>8.9394791060739359E-2</v>
      </c>
      <c r="L6" s="51" t="e">
        <f t="shared" ref="L6" si="4">$B$6/M4</f>
        <v>#DIV/0!</v>
      </c>
      <c r="M6" s="50">
        <f t="shared" ref="M6:M7" si="5">(((L4/365)*$B$7)/100)+K6</f>
        <v>8.9394791060739359E-2</v>
      </c>
      <c r="N6" s="51" t="e">
        <f t="shared" ref="N6" si="6">$B$6/O4</f>
        <v>#DIV/0!</v>
      </c>
      <c r="O6" s="50">
        <f t="shared" ref="O6:O7" si="7">(((N4/365)*$B$7)/100)+M6</f>
        <v>8.9394791060739359E-2</v>
      </c>
      <c r="P6" s="51" t="e">
        <f t="shared" ref="P6" si="8">$B$6/Q4</f>
        <v>#DIV/0!</v>
      </c>
      <c r="Q6" s="50">
        <f t="shared" ref="Q6:Q7" si="9">(((P4/365)*$B$7)/100)+O6</f>
        <v>8.9394791060739359E-2</v>
      </c>
      <c r="R6" s="51" t="e">
        <f t="shared" ref="R6" si="10">$B$6/S4</f>
        <v>#DIV/0!</v>
      </c>
      <c r="S6" s="50">
        <f t="shared" ref="S6:S7" si="11">(((R4/365)*$B$7)/100)+Q6</f>
        <v>8.9394791060739359E-2</v>
      </c>
      <c r="T6" s="51" t="e">
        <f t="shared" ref="T6" si="12">$B$6/U4</f>
        <v>#DIV/0!</v>
      </c>
      <c r="U6" s="50">
        <f t="shared" ref="U6:U7" si="13">(((T4/365)*$B$7)/100)+S6</f>
        <v>8.9394791060739359E-2</v>
      </c>
      <c r="V6" s="51" t="e">
        <f t="shared" ref="V6" si="14">$B$6/W4</f>
        <v>#DIV/0!</v>
      </c>
      <c r="W6" s="50">
        <f t="shared" ref="W6:W7" si="15">(((V4/365)*$B$7)/100)+U6</f>
        <v>8.9394791060739359E-2</v>
      </c>
      <c r="X6" s="51" t="e">
        <f t="shared" ref="X6" si="16">$B$6/Y4</f>
        <v>#DIV/0!</v>
      </c>
      <c r="Y6" s="50">
        <f t="shared" ref="Y6:Y7" si="17">(((X4/365)*$B$7)/100)+W6</f>
        <v>8.9394791060739359E-2</v>
      </c>
      <c r="Z6" s="51" t="e">
        <f t="shared" ref="Z6" si="18">$B$6/AA4</f>
        <v>#DIV/0!</v>
      </c>
      <c r="AA6" s="50">
        <f t="shared" ref="AA6:AA7" si="19">(((Z4/365)*$B$7)/100)+Y6</f>
        <v>8.9394791060739359E-2</v>
      </c>
      <c r="AB6" s="51" t="e">
        <f t="shared" ref="AB6" si="20">$B$6/AC4</f>
        <v>#DIV/0!</v>
      </c>
      <c r="AC6" s="50">
        <f t="shared" ref="AC6:AC7" si="21">(((AB4/365)*$B$7)/100)+AA6</f>
        <v>8.9394791060739359E-2</v>
      </c>
      <c r="AD6" s="51" t="e">
        <f t="shared" ref="AD6" si="22">$B$6/AE4</f>
        <v>#DIV/0!</v>
      </c>
      <c r="AE6" s="50">
        <f t="shared" ref="AE6:AE7" si="23">(((AD4/365)*$B$7)/100)+AC6</f>
        <v>8.9394791060739359E-2</v>
      </c>
      <c r="AF6" s="51" t="e">
        <f t="shared" ref="AF6" si="24">$B$6/AG4</f>
        <v>#DIV/0!</v>
      </c>
      <c r="AG6" s="50">
        <f t="shared" ref="AG6:AG7" si="25">(((AF4/365)*$B$7)/100)+AE6</f>
        <v>8.9394791060739359E-2</v>
      </c>
      <c r="AH6" s="51" t="e">
        <f>$B$6/AI4</f>
        <v>#DIV/0!</v>
      </c>
      <c r="AI6" s="50">
        <f t="shared" ref="AI6:AI7" si="26">(((AH4/365)*$B$7)/100)+AG6</f>
        <v>8.9394791060739359E-2</v>
      </c>
      <c r="AJ6" s="51" t="e">
        <f>$B$6/AK4</f>
        <v>#DIV/0!</v>
      </c>
      <c r="AK6" s="50">
        <f t="shared" ref="AK6:AK7" si="27">(((AJ4/365)*$B$7)/100)+AI6</f>
        <v>8.9394791060739359E-2</v>
      </c>
      <c r="AL6" s="51" t="e">
        <f>$B$6/AM4</f>
        <v>#DIV/0!</v>
      </c>
      <c r="AM6" s="50">
        <f t="shared" ref="AM6:AM7" si="28">(((AL4/365)*$B$7)/100)+AK6</f>
        <v>8.9394791060739359E-2</v>
      </c>
      <c r="AN6" s="51" t="e">
        <f>$B$6/AO4</f>
        <v>#DIV/0!</v>
      </c>
      <c r="AO6" s="50">
        <f t="shared" ref="AO6:AO7" si="29">(((AN4/365)*$B$7)/100)+AM6</f>
        <v>8.9394791060739359E-2</v>
      </c>
      <c r="AP6" s="51" t="e">
        <f>$B$6/AQ4</f>
        <v>#DIV/0!</v>
      </c>
      <c r="AQ6" s="50">
        <f t="shared" ref="AQ6:AQ7" si="30">(((AP4/365)*$B$7)/100)+AO6</f>
        <v>8.9394791060739359E-2</v>
      </c>
      <c r="AR6" s="51" t="e">
        <f>$B$6/AS4</f>
        <v>#DIV/0!</v>
      </c>
      <c r="AS6" s="50">
        <f t="shared" ref="AS6:AS7" si="31">(((AR4/365)*$B$7)/100)+AQ6</f>
        <v>8.9394791060739359E-2</v>
      </c>
      <c r="AT6" s="51" t="e">
        <f>$B$6/AU4</f>
        <v>#DIV/0!</v>
      </c>
      <c r="AU6" s="50">
        <f t="shared" ref="AU6:AU7" si="32">(((AT4/365)*$B$7)/100)+AS6</f>
        <v>8.9394791060739359E-2</v>
      </c>
      <c r="AV6" s="54">
        <f>AU6-E6</f>
        <v>4.425593977204504E-2</v>
      </c>
    </row>
    <row r="7" spans="1:119" x14ac:dyDescent="0.25">
      <c r="A7" s="43" t="s">
        <v>17</v>
      </c>
      <c r="B7" s="55">
        <f>[3]GRAFICO!$AU$7+[3]GRAFICO!$B$7</f>
        <v>402.82837947123289</v>
      </c>
      <c r="C7" s="46">
        <v>43587</v>
      </c>
      <c r="D7" s="51">
        <f>$B$7/E5</f>
        <v>0.23158909024970126</v>
      </c>
      <c r="E7" s="50">
        <f>(((D5/365)*$B$7)/100)</f>
        <v>4.3814484013720401E-2</v>
      </c>
      <c r="F7" s="51">
        <f>$B$6/G5</f>
        <v>0.22918011530391397</v>
      </c>
      <c r="G7" s="50">
        <f>(((F5/365)*$B$7)/100)+E7</f>
        <v>8.6746056510791536E-2</v>
      </c>
      <c r="H7" s="51" t="e">
        <f t="shared" ref="H7" si="33">$B$6/I5</f>
        <v>#DIV/0!</v>
      </c>
      <c r="I7" s="50">
        <f t="shared" si="1"/>
        <v>8.6746056510791536E-2</v>
      </c>
      <c r="J7" s="51" t="e">
        <f t="shared" ref="J7" si="34">$B$6/K5</f>
        <v>#DIV/0!</v>
      </c>
      <c r="K7" s="50">
        <f t="shared" si="3"/>
        <v>8.6746056510791536E-2</v>
      </c>
      <c r="L7" s="51" t="e">
        <f t="shared" ref="L7" si="35">$B$6/M5</f>
        <v>#DIV/0!</v>
      </c>
      <c r="M7" s="50">
        <f t="shared" si="5"/>
        <v>8.6746056510791536E-2</v>
      </c>
      <c r="N7" s="51" t="e">
        <f t="shared" ref="N7" si="36">$B$6/O5</f>
        <v>#DIV/0!</v>
      </c>
      <c r="O7" s="50">
        <f t="shared" si="7"/>
        <v>8.6746056510791536E-2</v>
      </c>
      <c r="P7" s="51" t="e">
        <f t="shared" ref="P7" si="37">$B$6/Q5</f>
        <v>#DIV/0!</v>
      </c>
      <c r="Q7" s="50">
        <f t="shared" si="9"/>
        <v>8.6746056510791536E-2</v>
      </c>
      <c r="R7" s="51" t="e">
        <f t="shared" ref="R7" si="38">$B$6/S5</f>
        <v>#DIV/0!</v>
      </c>
      <c r="S7" s="50">
        <f t="shared" si="11"/>
        <v>8.6746056510791536E-2</v>
      </c>
      <c r="T7" s="51" t="e">
        <f t="shared" ref="T7" si="39">$B$6/U5</f>
        <v>#DIV/0!</v>
      </c>
      <c r="U7" s="50">
        <f t="shared" si="13"/>
        <v>8.6746056510791536E-2</v>
      </c>
      <c r="V7" s="51" t="e">
        <f t="shared" ref="V7" si="40">$B$6/W5</f>
        <v>#DIV/0!</v>
      </c>
      <c r="W7" s="50">
        <f t="shared" si="15"/>
        <v>8.6746056510791536E-2</v>
      </c>
      <c r="X7" s="51" t="e">
        <f t="shared" ref="X7" si="41">$B$6/Y5</f>
        <v>#DIV/0!</v>
      </c>
      <c r="Y7" s="50">
        <f t="shared" si="17"/>
        <v>8.6746056510791536E-2</v>
      </c>
      <c r="Z7" s="51" t="e">
        <f t="shared" ref="Z7" si="42">$B$6/AA5</f>
        <v>#DIV/0!</v>
      </c>
      <c r="AA7" s="50">
        <f t="shared" si="19"/>
        <v>8.6746056510791536E-2</v>
      </c>
      <c r="AB7" s="51" t="e">
        <f t="shared" ref="AB7" si="43">$B$6/AC5</f>
        <v>#DIV/0!</v>
      </c>
      <c r="AC7" s="50">
        <f t="shared" si="21"/>
        <v>8.6746056510791536E-2</v>
      </c>
      <c r="AD7" s="51" t="e">
        <f t="shared" ref="AD7" si="44">$B$6/AE5</f>
        <v>#DIV/0!</v>
      </c>
      <c r="AE7" s="50">
        <f t="shared" si="23"/>
        <v>8.6746056510791536E-2</v>
      </c>
      <c r="AF7" s="51" t="e">
        <f>$B$6/AG5</f>
        <v>#DIV/0!</v>
      </c>
      <c r="AG7" s="50">
        <f t="shared" si="25"/>
        <v>8.6746056510791536E-2</v>
      </c>
      <c r="AH7" s="51" t="e">
        <f>$B$6/AI5</f>
        <v>#DIV/0!</v>
      </c>
      <c r="AI7" s="50">
        <f t="shared" si="26"/>
        <v>8.6746056510791536E-2</v>
      </c>
      <c r="AJ7" s="51" t="e">
        <f>$B$6/AK5</f>
        <v>#DIV/0!</v>
      </c>
      <c r="AK7" s="50">
        <f t="shared" si="27"/>
        <v>8.6746056510791536E-2</v>
      </c>
      <c r="AL7" s="51" t="e">
        <f>$B$6/AM5</f>
        <v>#DIV/0!</v>
      </c>
      <c r="AM7" s="50">
        <f t="shared" si="28"/>
        <v>8.6746056510791536E-2</v>
      </c>
      <c r="AN7" s="51" t="e">
        <f>$B$6/AO5</f>
        <v>#DIV/0!</v>
      </c>
      <c r="AO7" s="50">
        <f t="shared" si="29"/>
        <v>8.6746056510791536E-2</v>
      </c>
      <c r="AP7" s="51" t="e">
        <f>$B$6/AQ5</f>
        <v>#DIV/0!</v>
      </c>
      <c r="AQ7" s="50">
        <f t="shared" si="30"/>
        <v>8.6746056510791536E-2</v>
      </c>
      <c r="AR7" s="51" t="e">
        <f>$B$6/AS5</f>
        <v>#DIV/0!</v>
      </c>
      <c r="AS7" s="50">
        <f t="shared" si="31"/>
        <v>8.6746056510791536E-2</v>
      </c>
      <c r="AT7" s="51" t="e">
        <f>$B$6/AU5</f>
        <v>#DIV/0!</v>
      </c>
      <c r="AU7" s="50">
        <f t="shared" si="32"/>
        <v>8.6746056510791536E-2</v>
      </c>
      <c r="AV7" s="54">
        <f>AU7-E7</f>
        <v>4.2931572497071135E-2</v>
      </c>
    </row>
    <row r="8" spans="1:119" x14ac:dyDescent="0.25">
      <c r="AV8" s="54">
        <f>AV6-AV7</f>
        <v>1.3243672749739047E-3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2019-06-04T15:42:26Z</dcterms:modified>
</cp:coreProperties>
</file>