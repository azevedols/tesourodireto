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<sst xmlns="http://schemas.openxmlformats.org/spreadsheetml/2006/main" count="70" uniqueCount="26">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</sst>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8244528"/>
        <c:axId val="158824616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</c:v>
                      </c:pt>
                      <c:pt idx="7" formatCode="0.00">
                        <c:v>0</c:v>
                      </c:pt>
                      <c:pt idx="8" formatCode="0.00">
                        <c:v>0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824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6160"/>
        <c:crosses val="autoZero"/>
        <c:auto val="1"/>
        <c:lblAlgn val="ctr"/>
        <c:lblOffset val="100"/>
        <c:noMultiLvlLbl val="0"/>
      </c:catAx>
      <c:valAx>
        <c:axId val="158824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8259760"/>
        <c:axId val="1588249424"/>
      </c:lineChart>
      <c:catAx>
        <c:axId val="15882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9424"/>
        <c:crosses val="autoZero"/>
        <c:auto val="1"/>
        <c:lblAlgn val="ctr"/>
        <c:lblOffset val="100"/>
        <c:noMultiLvlLbl val="0"/>
      </c:catAx>
      <c:valAx>
        <c:axId val="15882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</c:v>
                </c:pt>
                <c:pt idx="7" formatCode="0.00">
                  <c:v>0</c:v>
                </c:pt>
                <c:pt idx="8" formatCode="0.00">
                  <c:v>0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8258128"/>
        <c:axId val="1588247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82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47792"/>
        <c:crosses val="autoZero"/>
        <c:auto val="1"/>
        <c:lblAlgn val="ctr"/>
        <c:lblOffset val="100"/>
        <c:noMultiLvlLbl val="0"/>
      </c:catAx>
      <c:valAx>
        <c:axId val="158824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0.26829473712179919</c:v>
                </c:pt>
                <c:pt idx="7" formatCode="_(&quot;R$&quot;* #,##0.00_);_(&quot;R$&quot;* \(#,##0.00\);_(&quot;R$&quot;* &quot;-&quot;??_);_(@_)">
                  <c:v>0.26829473712179919</c:v>
                </c:pt>
                <c:pt idx="8" formatCode="_(&quot;R$&quot;* #,##0.00_);_(&quot;R$&quot;* \(#,##0.00\);_(&quot;R$&quot;* &quot;-&quot;??_);_(@_)">
                  <c:v>0.26829473712179919</c:v>
                </c:pt>
                <c:pt idx="9" formatCode="_(&quot;R$&quot;* #,##0.00_);_(&quot;R$&quot;* \(#,##0.00\);_(&quot;R$&quot;* &quot;-&quot;??_);_(@_)">
                  <c:v>0.26829473712179919</c:v>
                </c:pt>
                <c:pt idx="10" formatCode="_(&quot;R$&quot;* #,##0.00_);_(&quot;R$&quot;* \(#,##0.00\);_(&quot;R$&quot;* &quot;-&quot;??_);_(@_)">
                  <c:v>0.26829473712179919</c:v>
                </c:pt>
                <c:pt idx="11" formatCode="_(&quot;R$&quot;* #,##0.00_);_(&quot;R$&quot;* \(#,##0.00\);_(&quot;R$&quot;* &quot;-&quot;??_);_(@_)">
                  <c:v>0.26829473712179919</c:v>
                </c:pt>
                <c:pt idx="12" formatCode="_(&quot;R$&quot;* #,##0.00_);_(&quot;R$&quot;* \(#,##0.00\);_(&quot;R$&quot;* &quot;-&quot;??_);_(@_)">
                  <c:v>0.26829473712179919</c:v>
                </c:pt>
                <c:pt idx="13" formatCode="_(&quot;R$&quot;* #,##0.00_);_(&quot;R$&quot;* \(#,##0.00\);_(&quot;R$&quot;* &quot;-&quot;??_);_(@_)">
                  <c:v>0.26829473712179919</c:v>
                </c:pt>
                <c:pt idx="14" formatCode="_(&quot;R$&quot;* #,##0.00_);_(&quot;R$&quot;* \(#,##0.00\);_(&quot;R$&quot;* &quot;-&quot;??_);_(@_)">
                  <c:v>0.26829473712179919</c:v>
                </c:pt>
                <c:pt idx="15" formatCode="_(&quot;R$&quot;* #,##0.00_);_(&quot;R$&quot;* \(#,##0.00\);_(&quot;R$&quot;* &quot;-&quot;??_);_(@_)">
                  <c:v>0.26829473712179919</c:v>
                </c:pt>
                <c:pt idx="16" formatCode="_(&quot;R$&quot;* #,##0.00_);_(&quot;R$&quot;* \(#,##0.00\);_(&quot;R$&quot;* &quot;-&quot;??_);_(@_)">
                  <c:v>0.26829473712179919</c:v>
                </c:pt>
                <c:pt idx="17" formatCode="_(&quot;R$&quot;* #,##0.00_);_(&quot;R$&quot;* \(#,##0.00\);_(&quot;R$&quot;* &quot;-&quot;??_);_(@_)">
                  <c:v>0.26829473712179919</c:v>
                </c:pt>
                <c:pt idx="18" formatCode="_(&quot;R$&quot;* #,##0.00_);_(&quot;R$&quot;* \(#,##0.00\);_(&quot;R$&quot;* &quot;-&quot;??_);_(@_)">
                  <c:v>0.26829473712179919</c:v>
                </c:pt>
                <c:pt idx="19" formatCode="_(&quot;R$&quot;* #,##0.00_);_(&quot;R$&quot;* \(#,##0.00\);_(&quot;R$&quot;* &quot;-&quot;??_);_(@_)">
                  <c:v>0.26829473712179919</c:v>
                </c:pt>
                <c:pt idx="20" formatCode="_(&quot;R$&quot;* #,##0.00_);_(&quot;R$&quot;* \(#,##0.00\);_(&quot;R$&quot;* &quot;-&quot;??_);_(@_)">
                  <c:v>0.26829473712179919</c:v>
                </c:pt>
                <c:pt idx="21" formatCode="_(&quot;R$&quot;* #,##0.00_);_(&quot;R$&quot;* \(#,##0.00\);_(&quot;R$&quot;* &quot;-&quot;??_);_(@_)">
                  <c:v>0.26829473712179919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0.26034853347195575</c:v>
                </c:pt>
                <c:pt idx="7" formatCode="_(&quot;R$&quot;* #,##0.00_);_(&quot;R$&quot;* \(#,##0.00\);_(&quot;R$&quot;* &quot;-&quot;??_);_(@_)">
                  <c:v>0.26034853347195575</c:v>
                </c:pt>
                <c:pt idx="8" formatCode="_(&quot;R$&quot;* #,##0.00_);_(&quot;R$&quot;* \(#,##0.00\);_(&quot;R$&quot;* &quot;-&quot;??_);_(@_)">
                  <c:v>0.26034853347195575</c:v>
                </c:pt>
                <c:pt idx="9" formatCode="_(&quot;R$&quot;* #,##0.00_);_(&quot;R$&quot;* \(#,##0.00\);_(&quot;R$&quot;* &quot;-&quot;??_);_(@_)">
                  <c:v>0.26034853347195575</c:v>
                </c:pt>
                <c:pt idx="10" formatCode="_(&quot;R$&quot;* #,##0.00_);_(&quot;R$&quot;* \(#,##0.00\);_(&quot;R$&quot;* &quot;-&quot;??_);_(@_)">
                  <c:v>0.26034853347195575</c:v>
                </c:pt>
                <c:pt idx="11" formatCode="_(&quot;R$&quot;* #,##0.00_);_(&quot;R$&quot;* \(#,##0.00\);_(&quot;R$&quot;* &quot;-&quot;??_);_(@_)">
                  <c:v>0.26034853347195575</c:v>
                </c:pt>
                <c:pt idx="12" formatCode="_(&quot;R$&quot;* #,##0.00_);_(&quot;R$&quot;* \(#,##0.00\);_(&quot;R$&quot;* &quot;-&quot;??_);_(@_)">
                  <c:v>0.26034853347195575</c:v>
                </c:pt>
                <c:pt idx="13" formatCode="_(&quot;R$&quot;* #,##0.00_);_(&quot;R$&quot;* \(#,##0.00\);_(&quot;R$&quot;* &quot;-&quot;??_);_(@_)">
                  <c:v>0.26034853347195575</c:v>
                </c:pt>
                <c:pt idx="14" formatCode="_(&quot;R$&quot;* #,##0.00_);_(&quot;R$&quot;* \(#,##0.00\);_(&quot;R$&quot;* &quot;-&quot;??_);_(@_)">
                  <c:v>0.26034853347195575</c:v>
                </c:pt>
                <c:pt idx="15" formatCode="_(&quot;R$&quot;* #,##0.00_);_(&quot;R$&quot;* \(#,##0.00\);_(&quot;R$&quot;* &quot;-&quot;??_);_(@_)">
                  <c:v>0.26034853347195575</c:v>
                </c:pt>
                <c:pt idx="16" formatCode="_(&quot;R$&quot;* #,##0.00_);_(&quot;R$&quot;* \(#,##0.00\);_(&quot;R$&quot;* &quot;-&quot;??_);_(@_)">
                  <c:v>0.26034853347195575</c:v>
                </c:pt>
                <c:pt idx="17" formatCode="_(&quot;R$&quot;* #,##0.00_);_(&quot;R$&quot;* \(#,##0.00\);_(&quot;R$&quot;* &quot;-&quot;??_);_(@_)">
                  <c:v>0.26034853347195575</c:v>
                </c:pt>
                <c:pt idx="18" formatCode="_(&quot;R$&quot;* #,##0.00_);_(&quot;R$&quot;* \(#,##0.00\);_(&quot;R$&quot;* &quot;-&quot;??_);_(@_)">
                  <c:v>0.26034853347195575</c:v>
                </c:pt>
                <c:pt idx="19" formatCode="_(&quot;R$&quot;* #,##0.00_);_(&quot;R$&quot;* \(#,##0.00\);_(&quot;R$&quot;* &quot;-&quot;??_);_(@_)">
                  <c:v>0.26034853347195575</c:v>
                </c:pt>
                <c:pt idx="20" formatCode="_(&quot;R$&quot;* #,##0.00_);_(&quot;R$&quot;* \(#,##0.00\);_(&quot;R$&quot;* &quot;-&quot;??_);_(@_)">
                  <c:v>0.26034853347195575</c:v>
                </c:pt>
                <c:pt idx="21" formatCode="_(&quot;R$&quot;* #,##0.00_);_(&quot;R$&quot;* \(#,##0.00\);_(&quot;R$&quot;* &quot;-&quot;??_);_(@_)">
                  <c:v>0.26034853347195575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8251056"/>
        <c:axId val="158825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825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8672"/>
        <c:crosses val="autoZero"/>
        <c:auto val="1"/>
        <c:lblAlgn val="ctr"/>
        <c:lblOffset val="100"/>
        <c:noMultiLvlLbl val="0"/>
      </c:catAx>
      <c:valAx>
        <c:axId val="158825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825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I1" workbookViewId="0">
      <selection activeCell="O5" sqref="O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/>
      <c r="Q4" s="32"/>
      <c r="R4" s="31"/>
      <c r="S4" s="32"/>
      <c r="T4" s="31"/>
      <c r="U4" s="32"/>
      <c r="V4" s="31"/>
      <c r="W4" s="32"/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14"/>
      <c r="Q5" s="15"/>
      <c r="R5" s="14"/>
      <c r="S5" s="15"/>
      <c r="T5" s="14"/>
      <c r="U5" s="15"/>
      <c r="V5" s="14"/>
      <c r="W5" s="15"/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 t="e">
        <f t="shared" ref="P6" si="8">$B$6/Q4</f>
        <v>#DIV/0!</v>
      </c>
      <c r="Q6" s="45">
        <f t="shared" ref="Q6:Q7" si="9">(((P4/365)*$B$7)/100)+O6</f>
        <v>0.26829473712179919</v>
      </c>
      <c r="R6" s="46" t="e">
        <f t="shared" ref="R6" si="10">$B$6/S4</f>
        <v>#DIV/0!</v>
      </c>
      <c r="S6" s="45">
        <f t="shared" ref="S6:S7" si="11">(((R4/365)*$B$7)/100)+Q6</f>
        <v>0.26829473712179919</v>
      </c>
      <c r="T6" s="46" t="e">
        <f t="shared" ref="T6" si="12">$B$6/U4</f>
        <v>#DIV/0!</v>
      </c>
      <c r="U6" s="45">
        <f t="shared" ref="U6:U7" si="13">(((T4/365)*$B$7)/100)+S6</f>
        <v>0.26829473712179919</v>
      </c>
      <c r="V6" s="46" t="e">
        <f t="shared" ref="V6" si="14">$B$6/W4</f>
        <v>#DIV/0!</v>
      </c>
      <c r="W6" s="45">
        <f t="shared" ref="W6:W7" si="15">(((V4/365)*$B$7)/100)+U6</f>
        <v>0.26829473712179919</v>
      </c>
      <c r="X6" s="46" t="e">
        <f t="shared" ref="X6" si="16">$B$6/Y4</f>
        <v>#DIV/0!</v>
      </c>
      <c r="Y6" s="45">
        <f t="shared" ref="Y6:Y7" si="17">(((X4/365)*$B$7)/100)+W6</f>
        <v>0.26829473712179919</v>
      </c>
      <c r="Z6" s="46" t="e">
        <f t="shared" ref="Z6" si="18">$B$6/AA4</f>
        <v>#DIV/0!</v>
      </c>
      <c r="AA6" s="45">
        <f t="shared" ref="AA6:AA7" si="19">(((Z4/365)*$B$7)/100)+Y6</f>
        <v>0.26829473712179919</v>
      </c>
      <c r="AB6" s="46" t="e">
        <f t="shared" ref="AB6" si="20">$B$6/AC4</f>
        <v>#DIV/0!</v>
      </c>
      <c r="AC6" s="45">
        <f t="shared" ref="AC6:AC7" si="21">(((AB4/365)*$B$7)/100)+AA6</f>
        <v>0.26829473712179919</v>
      </c>
      <c r="AD6" s="46" t="e">
        <f t="shared" ref="AD6" si="22">$B$6/AE4</f>
        <v>#DIV/0!</v>
      </c>
      <c r="AE6" s="45">
        <f t="shared" ref="AE6:AE7" si="23">(((AD4/365)*$B$7)/100)+AC6</f>
        <v>0.26829473712179919</v>
      </c>
      <c r="AF6" s="46" t="e">
        <f t="shared" ref="AF6" si="24">$B$6/AG4</f>
        <v>#DIV/0!</v>
      </c>
      <c r="AG6" s="45">
        <f t="shared" ref="AG6:AG7" si="25">(((AF4/365)*$B$7)/100)+AE6</f>
        <v>0.26829473712179919</v>
      </c>
      <c r="AH6" s="46" t="e">
        <f>$B$6/AI4</f>
        <v>#DIV/0!</v>
      </c>
      <c r="AI6" s="45">
        <f t="shared" ref="AI6:AI7" si="26">(((AH4/365)*$B$7)/100)+AG6</f>
        <v>0.26829473712179919</v>
      </c>
      <c r="AJ6" s="46" t="e">
        <f>$B$6/AK4</f>
        <v>#DIV/0!</v>
      </c>
      <c r="AK6" s="45">
        <f t="shared" ref="AK6:AK7" si="27">(((AJ4/365)*$B$7)/100)+AI6</f>
        <v>0.26829473712179919</v>
      </c>
      <c r="AL6" s="46" t="e">
        <f>$B$6/AM4</f>
        <v>#DIV/0!</v>
      </c>
      <c r="AM6" s="45">
        <f t="shared" ref="AM6:AM7" si="28">(((AL4/365)*$B$7)/100)+AK6</f>
        <v>0.26829473712179919</v>
      </c>
      <c r="AN6" s="46" t="e">
        <f>$B$6/AO4</f>
        <v>#DIV/0!</v>
      </c>
      <c r="AO6" s="45">
        <f t="shared" ref="AO6:AO7" si="29">(((AN4/365)*$B$7)/100)+AM6</f>
        <v>0.26829473712179919</v>
      </c>
      <c r="AP6" s="46" t="e">
        <f>$B$6/AQ4</f>
        <v>#DIV/0!</v>
      </c>
      <c r="AQ6" s="45">
        <f t="shared" ref="AQ6:AQ7" si="30">(((AP4/365)*$B$7)/100)+AO6</f>
        <v>0.26829473712179919</v>
      </c>
      <c r="AR6" s="46" t="e">
        <f>$B$6/AS4</f>
        <v>#DIV/0!</v>
      </c>
      <c r="AS6" s="45">
        <f t="shared" ref="AS6:AS7" si="31">(((AR4/365)*$B$7)/100)+AQ6</f>
        <v>0.26829473712179919</v>
      </c>
      <c r="AT6" s="46" t="e">
        <f>$B$6/AU4</f>
        <v>#DIV/0!</v>
      </c>
      <c r="AU6" s="45">
        <f t="shared" ref="AU6:AU7" si="32">(((AT4/365)*$B$7)/100)+AS6</f>
        <v>0.26829473712179919</v>
      </c>
      <c r="AV6" s="49">
        <f>AU6-E6</f>
        <v>0.22315588583310486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 t="e">
        <f t="shared" ref="P7" si="37">$B$6/Q5</f>
        <v>#DIV/0!</v>
      </c>
      <c r="Q7" s="45">
        <f t="shared" si="9"/>
        <v>0.26034853347195575</v>
      </c>
      <c r="R7" s="46" t="e">
        <f t="shared" ref="R7" si="38">$B$6/S5</f>
        <v>#DIV/0!</v>
      </c>
      <c r="S7" s="45">
        <f t="shared" si="11"/>
        <v>0.26034853347195575</v>
      </c>
      <c r="T7" s="46" t="e">
        <f t="shared" ref="T7" si="39">$B$6/U5</f>
        <v>#DIV/0!</v>
      </c>
      <c r="U7" s="45">
        <f t="shared" si="13"/>
        <v>0.26034853347195575</v>
      </c>
      <c r="V7" s="46" t="e">
        <f t="shared" ref="V7" si="40">$B$6/W5</f>
        <v>#DIV/0!</v>
      </c>
      <c r="W7" s="45">
        <f t="shared" si="15"/>
        <v>0.26034853347195575</v>
      </c>
      <c r="X7" s="46" t="e">
        <f t="shared" ref="X7" si="41">$B$6/Y5</f>
        <v>#DIV/0!</v>
      </c>
      <c r="Y7" s="45">
        <f t="shared" si="17"/>
        <v>0.26034853347195575</v>
      </c>
      <c r="Z7" s="46" t="e">
        <f t="shared" ref="Z7" si="42">$B$6/AA5</f>
        <v>#DIV/0!</v>
      </c>
      <c r="AA7" s="45">
        <f t="shared" si="19"/>
        <v>0.26034853347195575</v>
      </c>
      <c r="AB7" s="46" t="e">
        <f t="shared" ref="AB7" si="43">$B$6/AC5</f>
        <v>#DIV/0!</v>
      </c>
      <c r="AC7" s="45">
        <f t="shared" si="21"/>
        <v>0.26034853347195575</v>
      </c>
      <c r="AD7" s="46" t="e">
        <f t="shared" ref="AD7" si="44">$B$6/AE5</f>
        <v>#DIV/0!</v>
      </c>
      <c r="AE7" s="45">
        <f t="shared" si="23"/>
        <v>0.26034853347195575</v>
      </c>
      <c r="AF7" s="46" t="e">
        <f>$B$6/AG5</f>
        <v>#DIV/0!</v>
      </c>
      <c r="AG7" s="45">
        <f t="shared" si="25"/>
        <v>0.26034853347195575</v>
      </c>
      <c r="AH7" s="46" t="e">
        <f>$B$6/AI5</f>
        <v>#DIV/0!</v>
      </c>
      <c r="AI7" s="45">
        <f t="shared" si="26"/>
        <v>0.26034853347195575</v>
      </c>
      <c r="AJ7" s="46" t="e">
        <f>$B$6/AK5</f>
        <v>#DIV/0!</v>
      </c>
      <c r="AK7" s="45">
        <f t="shared" si="27"/>
        <v>0.26034853347195575</v>
      </c>
      <c r="AL7" s="46" t="e">
        <f>$B$6/AM5</f>
        <v>#DIV/0!</v>
      </c>
      <c r="AM7" s="45">
        <f t="shared" si="28"/>
        <v>0.26034853347195575</v>
      </c>
      <c r="AN7" s="46" t="e">
        <f>$B$6/AO5</f>
        <v>#DIV/0!</v>
      </c>
      <c r="AO7" s="45">
        <f t="shared" si="29"/>
        <v>0.26034853347195575</v>
      </c>
      <c r="AP7" s="46" t="e">
        <f>$B$6/AQ5</f>
        <v>#DIV/0!</v>
      </c>
      <c r="AQ7" s="45">
        <f t="shared" si="30"/>
        <v>0.26034853347195575</v>
      </c>
      <c r="AR7" s="46" t="e">
        <f>$B$6/AS5</f>
        <v>#DIV/0!</v>
      </c>
      <c r="AS7" s="45">
        <f t="shared" si="31"/>
        <v>0.26034853347195575</v>
      </c>
      <c r="AT7" s="46" t="e">
        <f>$B$6/AU5</f>
        <v>#DIV/0!</v>
      </c>
      <c r="AU7" s="45">
        <f t="shared" si="32"/>
        <v>0.26034853347195575</v>
      </c>
      <c r="AV7" s="49">
        <f>AU7-E7</f>
        <v>0.21653404945823534</v>
      </c>
    </row>
    <row r="8" spans="1:119" x14ac:dyDescent="0.25">
      <c r="AV8" s="49">
        <f>AV6-AV7</f>
        <v>6.6218363748695164E-3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2019-06-10T13:34:37Z</dcterms:modified>
</cp:coreProperties>
</file>