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<sst xmlns="http://schemas.openxmlformats.org/spreadsheetml/2006/main" count="70" uniqueCount="26">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</sst>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  <c:pt idx="14" formatCode="General">
                  <c:v>3.89</c:v>
                </c:pt>
                <c:pt idx="15" formatCode="General">
                  <c:v>3.88</c:v>
                </c:pt>
                <c:pt idx="16" formatCode="General">
                  <c:v>3.85</c:v>
                </c:pt>
                <c:pt idx="17" formatCode="General">
                  <c:v>3.84</c:v>
                </c:pt>
                <c:pt idx="18" formatCode="General">
                  <c:v>3.74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  <c:pt idx="15" formatCode="General">
                  <c:v>3.76</c:v>
                </c:pt>
                <c:pt idx="16" formatCode="General">
                  <c:v>3.73</c:v>
                </c:pt>
                <c:pt idx="17" formatCode="General">
                  <c:v>3.72</c:v>
                </c:pt>
                <c:pt idx="18" formatCode="General">
                  <c:v>3.62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286112"/>
        <c:axId val="121628883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0.23479936621722805</c:v>
                      </c:pt>
                      <c:pt idx="3" formatCode="0.00">
                        <c:v>0.23510297547657491</c:v>
                      </c:pt>
                      <c:pt idx="4" formatCode="0.00">
                        <c:v>0.23486904489006116</c:v>
                      </c:pt>
                      <c:pt idx="5" formatCode="0.00">
                        <c:v>0.23482258784736396</c:v>
                      </c:pt>
                      <c:pt idx="6" formatCode="0.00">
                        <c:v>0.233703634028922</c:v>
                      </c:pt>
                      <c:pt idx="7" formatCode="0.00">
                        <c:v>0.23330109730926896</c:v>
                      </c:pt>
                      <c:pt idx="8" formatCode="0.00">
                        <c:v>0.23361030568789315</c:v>
                      </c:pt>
                      <c:pt idx="9" formatCode="0.00">
                        <c:v>0.23391897915256724</c:v>
                      </c:pt>
                      <c:pt idx="10" formatCode="0.00">
                        <c:v>0.23317036923366918</c:v>
                      </c:pt>
                      <c:pt idx="11" formatCode="0.00">
                        <c:v>0.23277772012659234</c:v>
                      </c:pt>
                      <c:pt idx="12" formatCode="0.00">
                        <c:v>0.23309496403817884</c:v>
                      </c:pt>
                      <c:pt idx="13" formatCode="0.00">
                        <c:v>0.22883191006157477</c:v>
                      </c:pt>
                      <c:pt idx="14" formatCode="0.00">
                        <c:v>0.22879688834286319</c:v>
                      </c:pt>
                      <c:pt idx="15" formatCode="0.00">
                        <c:v>0.22841235575741298</c:v>
                      </c:pt>
                      <c:pt idx="16" formatCode="0.00">
                        <c:v>0.22737145088929517</c:v>
                      </c:pt>
                      <c:pt idx="17" formatCode="0.00">
                        <c:v>0.22699424385285732</c:v>
                      </c:pt>
                      <c:pt idx="18" formatCode="0.00">
                        <c:v>0.22353225259408238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0.23053355406491119</c:v>
                      </c:pt>
                      <c:pt idx="3" formatCode="0.00">
                        <c:v>0.23083282501441846</c:v>
                      </c:pt>
                      <c:pt idx="4" formatCode="0.00">
                        <c:v>0.23060467590865394</c:v>
                      </c:pt>
                      <c:pt idx="5" formatCode="0.00">
                        <c:v>0.23055989037277438</c:v>
                      </c:pt>
                      <c:pt idx="6" formatCode="0.00">
                        <c:v>0.2294602260708509</c:v>
                      </c:pt>
                      <c:pt idx="7" formatCode="0.00">
                        <c:v>0.22906566245961513</c:v>
                      </c:pt>
                      <c:pt idx="8" formatCode="0.00">
                        <c:v>0.22937155889252647</c:v>
                      </c:pt>
                      <c:pt idx="9" formatCode="0.00">
                        <c:v>0.22967696650585082</c:v>
                      </c:pt>
                      <c:pt idx="10" formatCode="0.00">
                        <c:v>0.22894093511699048</c:v>
                      </c:pt>
                      <c:pt idx="11" formatCode="0.00">
                        <c:v>0.2285559185956787</c:v>
                      </c:pt>
                      <c:pt idx="12" formatCode="0.00">
                        <c:v>0.22886824020725002</c:v>
                      </c:pt>
                      <c:pt idx="13" formatCode="0.00">
                        <c:v>0.22467945877101289</c:v>
                      </c:pt>
                      <c:pt idx="14" formatCode="0.00">
                        <c:v>0.22464569645516558</c:v>
                      </c:pt>
                      <c:pt idx="15" formatCode="0.00">
                        <c:v>0.22426999509760159</c:v>
                      </c:pt>
                      <c:pt idx="16" formatCode="0.00">
                        <c:v>0.22324789659281782</c:v>
                      </c:pt>
                      <c:pt idx="17" formatCode="0.00">
                        <c:v>0.22287685223778181</c:v>
                      </c:pt>
                      <c:pt idx="18" formatCode="0.00">
                        <c:v>0.21947512355254031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628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8832"/>
        <c:crosses val="autoZero"/>
        <c:auto val="1"/>
        <c:lblAlgn val="ctr"/>
        <c:lblOffset val="100"/>
        <c:noMultiLvlLbl val="0"/>
      </c:catAx>
      <c:valAx>
        <c:axId val="121628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  <c:pt idx="3" formatCode="&quot;R$&quot;#,##0.00_);[Red]\(&quot;R$&quot;#,##0.00\)">
                  <c:v>1716.86</c:v>
                </c:pt>
                <c:pt idx="4" formatCode="&quot;R$&quot;#,##0.00_);[Red]\(&quot;R$&quot;#,##0.00\)">
                  <c:v>1718.57</c:v>
                </c:pt>
                <c:pt idx="5" formatCode="&quot;R$&quot;#,##0.00_);[Red]\(&quot;R$&quot;#,##0.00\)">
                  <c:v>1718.91</c:v>
                </c:pt>
                <c:pt idx="6" formatCode="&quot;R$&quot;#,##0.00_);[Red]\(&quot;R$&quot;#,##0.00\)">
                  <c:v>1727.14</c:v>
                </c:pt>
                <c:pt idx="7" formatCode="&quot;R$&quot;#,##0.00_);[Red]\(&quot;R$&quot;#,##0.00\)">
                  <c:v>1730.12</c:v>
                </c:pt>
                <c:pt idx="8" formatCode="&quot;R$&quot;#,##0.00_);[Red]\(&quot;R$&quot;#,##0.00\)">
                  <c:v>1727.83</c:v>
                </c:pt>
                <c:pt idx="9" formatCode="&quot;R$&quot;#,##0.00_);[Red]\(&quot;R$&quot;#,##0.00\)">
                  <c:v>1725.55</c:v>
                </c:pt>
                <c:pt idx="10" formatCode="&quot;R$&quot;#,##0.00_);[Red]\(&quot;R$&quot;#,##0.00\)">
                  <c:v>1731.09</c:v>
                </c:pt>
                <c:pt idx="11" formatCode="&quot;R$&quot;#,##0.00_);[Red]\(&quot;R$&quot;#,##0.00\)">
                  <c:v>1734.01</c:v>
                </c:pt>
                <c:pt idx="12" formatCode="&quot;R$&quot;#,##0.00_);[Red]\(&quot;R$&quot;#,##0.00\)">
                  <c:v>1731.65</c:v>
                </c:pt>
                <c:pt idx="13" formatCode="&quot;R$&quot;#,##0.00_);[Red]\(&quot;R$&quot;#,##0.00\)">
                  <c:v>1763.91</c:v>
                </c:pt>
                <c:pt idx="14" formatCode="&quot;R$&quot;#,##0.00_);[Red]\(&quot;R$&quot;#,##0.00\)">
                  <c:v>1764.18</c:v>
                </c:pt>
                <c:pt idx="15" formatCode="&quot;R$&quot;#,##0.00_);[Red]\(&quot;R$&quot;#,##0.00\)">
                  <c:v>1767.15</c:v>
                </c:pt>
                <c:pt idx="16" formatCode="&quot;R$&quot;#,##0.00_);[Red]\(&quot;R$&quot;#,##0.00\)">
                  <c:v>1775.24</c:v>
                </c:pt>
                <c:pt idx="17" formatCode="&quot;R$&quot;#,##0.00_);[Red]\(&quot;R$&quot;#,##0.00\)">
                  <c:v>1778.19</c:v>
                </c:pt>
                <c:pt idx="18" formatCode="&quot;R$&quot;#,##0.00_);[Red]\(&quot;R$&quot;#,##0.00\)">
                  <c:v>1805.73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  <c:pt idx="3" formatCode="&quot;R$&quot;#,##0.00_);[Red]\(&quot;R$&quot;#,##0.00\)">
                  <c:v>1748.62</c:v>
                </c:pt>
                <c:pt idx="4" formatCode="&quot;R$&quot;#,##0.00_);[Red]\(&quot;R$&quot;#,##0.00\)">
                  <c:v>1750.35</c:v>
                </c:pt>
                <c:pt idx="5" formatCode="&quot;R$&quot;#,##0.00_);[Red]\(&quot;R$&quot;#,##0.00\)">
                  <c:v>1750.69</c:v>
                </c:pt>
                <c:pt idx="6" formatCode="&quot;R$&quot;#,##0.00_);[Red]\(&quot;R$&quot;#,##0.00\)">
                  <c:v>1759.08</c:v>
                </c:pt>
                <c:pt idx="7" formatCode="&quot;R$&quot;#,##0.00_);[Red]\(&quot;R$&quot;#,##0.00\)">
                  <c:v>1762.11</c:v>
                </c:pt>
                <c:pt idx="8" formatCode="&quot;R$&quot;#,##0.00_);[Red]\(&quot;R$&quot;#,##0.00\)">
                  <c:v>1759.76</c:v>
                </c:pt>
                <c:pt idx="9" formatCode="&quot;R$&quot;#,##0.00_);[Red]\(&quot;R$&quot;#,##0.00\)">
                  <c:v>1757.42</c:v>
                </c:pt>
                <c:pt idx="10" formatCode="&quot;R$&quot;#,##0.00_);[Red]\(&quot;R$&quot;#,##0.00\)">
                  <c:v>1763.07</c:v>
                </c:pt>
                <c:pt idx="11" formatCode="&quot;R$&quot;#,##0.00_);[Red]\(&quot;R$&quot;#,##0.00\)">
                  <c:v>1766.04</c:v>
                </c:pt>
                <c:pt idx="12" formatCode="&quot;R$&quot;#,##0.00_);[Red]\(&quot;R$&quot;#,##0.00\)">
                  <c:v>1763.63</c:v>
                </c:pt>
                <c:pt idx="13" formatCode="&quot;R$&quot;#,##0.00_);[Red]\(&quot;R$&quot;#,##0.00\)">
                  <c:v>1796.51</c:v>
                </c:pt>
                <c:pt idx="14" formatCode="&quot;R$&quot;#,##0.00_);[Red]\(&quot;R$&quot;#,##0.00\)">
                  <c:v>1796.78</c:v>
                </c:pt>
                <c:pt idx="15" formatCode="&quot;R$&quot;#,##0.00_);[Red]\(&quot;R$&quot;#,##0.00\)">
                  <c:v>1799.79</c:v>
                </c:pt>
                <c:pt idx="16" formatCode="&quot;R$&quot;#,##0.00_);[Red]\(&quot;R$&quot;#,##0.00\)">
                  <c:v>1808.03</c:v>
                </c:pt>
                <c:pt idx="17" formatCode="&quot;R$&quot;#,##0.00_);[Red]\(&quot;R$&quot;#,##0.00\)">
                  <c:v>1811.04</c:v>
                </c:pt>
                <c:pt idx="18" formatCode="&quot;R$&quot;#,##0.00_);[Red]\(&quot;R$&quot;#,##0.00\)">
                  <c:v>1839.11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277408"/>
        <c:axId val="1216277952"/>
      </c:lineChart>
      <c:catAx>
        <c:axId val="1216277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77952"/>
        <c:crosses val="autoZero"/>
        <c:auto val="1"/>
        <c:lblAlgn val="ctr"/>
        <c:lblOffset val="100"/>
        <c:noMultiLvlLbl val="0"/>
      </c:catAx>
      <c:valAx>
        <c:axId val="121627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7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0.23479936621722805</c:v>
                </c:pt>
                <c:pt idx="3" formatCode="0.00">
                  <c:v>0.23510297547657491</c:v>
                </c:pt>
                <c:pt idx="4" formatCode="0.00">
                  <c:v>0.23486904489006116</c:v>
                </c:pt>
                <c:pt idx="5" formatCode="0.00">
                  <c:v>0.23482258784736396</c:v>
                </c:pt>
                <c:pt idx="6" formatCode="0.00">
                  <c:v>0.233703634028922</c:v>
                </c:pt>
                <c:pt idx="7" formatCode="0.00">
                  <c:v>0.23330109730926896</c:v>
                </c:pt>
                <c:pt idx="8" formatCode="0.00">
                  <c:v>0.23361030568789315</c:v>
                </c:pt>
                <c:pt idx="9" formatCode="0.00">
                  <c:v>0.23391897915256724</c:v>
                </c:pt>
                <c:pt idx="10" formatCode="0.00">
                  <c:v>0.23317036923366918</c:v>
                </c:pt>
                <c:pt idx="11" formatCode="0.00">
                  <c:v>0.23277772012659234</c:v>
                </c:pt>
                <c:pt idx="12" formatCode="0.00">
                  <c:v>0.23309496403817884</c:v>
                </c:pt>
                <c:pt idx="13" formatCode="0.00">
                  <c:v>0.22883191006157477</c:v>
                </c:pt>
                <c:pt idx="14" formatCode="0.00">
                  <c:v>0.22879688834286319</c:v>
                </c:pt>
                <c:pt idx="15" formatCode="0.00">
                  <c:v>0.22841235575741298</c:v>
                </c:pt>
                <c:pt idx="16" formatCode="0.00">
                  <c:v>0.22737145088929517</c:v>
                </c:pt>
                <c:pt idx="17" formatCode="0.00">
                  <c:v>0.22699424385285732</c:v>
                </c:pt>
                <c:pt idx="18" formatCode="0.00">
                  <c:v>0.22353225259408238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0.23053355406491119</c:v>
                </c:pt>
                <c:pt idx="3" formatCode="0.00">
                  <c:v>0.23083282501441846</c:v>
                </c:pt>
                <c:pt idx="4" formatCode="0.00">
                  <c:v>0.23060467590865394</c:v>
                </c:pt>
                <c:pt idx="5" formatCode="0.00">
                  <c:v>0.23055989037277438</c:v>
                </c:pt>
                <c:pt idx="6" formatCode="0.00">
                  <c:v>0.2294602260708509</c:v>
                </c:pt>
                <c:pt idx="7" formatCode="0.00">
                  <c:v>0.22906566245961513</c:v>
                </c:pt>
                <c:pt idx="8" formatCode="0.00">
                  <c:v>0.22937155889252647</c:v>
                </c:pt>
                <c:pt idx="9" formatCode="0.00">
                  <c:v>0.22967696650585082</c:v>
                </c:pt>
                <c:pt idx="10" formatCode="0.00">
                  <c:v>0.22894093511699048</c:v>
                </c:pt>
                <c:pt idx="11" formatCode="0.00">
                  <c:v>0.2285559185956787</c:v>
                </c:pt>
                <c:pt idx="12" formatCode="0.00">
                  <c:v>0.22886824020725002</c:v>
                </c:pt>
                <c:pt idx="13" formatCode="0.00">
                  <c:v>0.22467945877101289</c:v>
                </c:pt>
                <c:pt idx="14" formatCode="0.00">
                  <c:v>0.22464569645516558</c:v>
                </c:pt>
                <c:pt idx="15" formatCode="0.00">
                  <c:v>0.22426999509760159</c:v>
                </c:pt>
                <c:pt idx="16" formatCode="0.00">
                  <c:v>0.22324789659281782</c:v>
                </c:pt>
                <c:pt idx="17" formatCode="0.00">
                  <c:v>0.22287685223778181</c:v>
                </c:pt>
                <c:pt idx="18" formatCode="0.00">
                  <c:v>0.21947512355254031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9792736"/>
        <c:axId val="12197796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  <c:pt idx="17" formatCode="General">
                        <c:v>3.84</c:v>
                      </c:pt>
                      <c:pt idx="18" formatCode="General">
                        <c:v>3.74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  <c:pt idx="16" formatCode="General">
                        <c:v>3.73</c:v>
                      </c:pt>
                      <c:pt idx="17" formatCode="General">
                        <c:v>3.72</c:v>
                      </c:pt>
                      <c:pt idx="18" formatCode="General">
                        <c:v>3.62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979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9779680"/>
        <c:crosses val="autoZero"/>
        <c:auto val="1"/>
        <c:lblAlgn val="ctr"/>
        <c:lblOffset val="100"/>
        <c:noMultiLvlLbl val="0"/>
      </c:catAx>
      <c:valAx>
        <c:axId val="121977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979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0.13409218659110902</c:v>
                </c:pt>
                <c:pt idx="3" formatCode="_(&quot;R$&quot;* #,##0.00_);_(&quot;R$&quot;* \(#,##0.00\);_(&quot;R$&quot;* &quot;-&quot;??_);_(@_)">
                  <c:v>0.17889994606105986</c:v>
                </c:pt>
                <c:pt idx="4" formatCode="_(&quot;R$&quot;* #,##0.00_);_(&quot;R$&quot;* \(#,##0.00\);_(&quot;R$&quot;* &quot;-&quot;??_);_(@_)">
                  <c:v>0.22359734159142952</c:v>
                </c:pt>
                <c:pt idx="5" formatCode="_(&quot;R$&quot;* #,##0.00_);_(&quot;R$&quot;* \(#,##0.00\);_(&quot;R$&quot;* &quot;-&quot;??_);_(@_)">
                  <c:v>0.26829473712179919</c:v>
                </c:pt>
                <c:pt idx="6" formatCode="_(&quot;R$&quot;* #,##0.00_);_(&quot;R$&quot;* \(#,##0.00\);_(&quot;R$&quot;* &quot;-&quot;??_);_(@_)">
                  <c:v>0.31266104083342539</c:v>
                </c:pt>
                <c:pt idx="7" formatCode="_(&quot;R$&quot;* #,##0.00_);_(&quot;R$&quot;* \(#,##0.00\);_(&quot;R$&quot;* &quot;-&quot;??_);_(@_)">
                  <c:v>0.35691698060547045</c:v>
                </c:pt>
                <c:pt idx="8" formatCode="_(&quot;R$&quot;* #,##0.00_);_(&quot;R$&quot;* \(#,##0.00\);_(&quot;R$&quot;* &quot;-&quot;??_);_(@_)">
                  <c:v>0.40128328431709664</c:v>
                </c:pt>
                <c:pt idx="9" formatCode="_(&quot;R$&quot;* #,##0.00_);_(&quot;R$&quot;* \(#,##0.00\);_(&quot;R$&quot;* &quot;-&quot;??_);_(@_)">
                  <c:v>0.44575995196830398</c:v>
                </c:pt>
                <c:pt idx="10" formatCode="_(&quot;R$&quot;* #,##0.00_);_(&quot;R$&quot;* \(#,##0.00\);_(&quot;R$&quot;* &quot;-&quot;??_);_(@_)">
                  <c:v>0.49001589174034904</c:v>
                </c:pt>
                <c:pt idx="11" formatCode="_(&quot;R$&quot;* #,##0.00_);_(&quot;R$&quot;* \(#,##0.00\);_(&quot;R$&quot;* &quot;-&quot;??_);_(@_)">
                  <c:v>0.53416146757281291</c:v>
                </c:pt>
                <c:pt idx="12" formatCode="_(&quot;R$&quot;* #,##0.00_);_(&quot;R$&quot;* \(#,##0.00\);_(&quot;R$&quot;* &quot;-&quot;??_);_(@_)">
                  <c:v>0.57841740734485791</c:v>
                </c:pt>
                <c:pt idx="13" formatCode="_(&quot;R$&quot;* #,##0.00_);_(&quot;R$&quot;* \(#,##0.00\);_(&quot;R$&quot;* &quot;-&quot;??_);_(@_)">
                  <c:v>0.62134897984192905</c:v>
                </c:pt>
                <c:pt idx="14" formatCode="_(&quot;R$&quot;* #,##0.00_);_(&quot;R$&quot;* \(#,##0.00\);_(&quot;R$&quot;* &quot;-&quot;??_);_(@_)">
                  <c:v>0.66428055233900019</c:v>
                </c:pt>
                <c:pt idx="15" formatCode="_(&quot;R$&quot;* #,##0.00_);_(&quot;R$&quot;* \(#,##0.00\);_(&quot;R$&quot;* &quot;-&quot;??_);_(@_)">
                  <c:v>0.70710176089649013</c:v>
                </c:pt>
                <c:pt idx="16" formatCode="_(&quot;R$&quot;* #,##0.00_);_(&quot;R$&quot;* \(#,##0.00\);_(&quot;R$&quot;* &quot;-&quot;??_);_(@_)">
                  <c:v>0.7495918776352366</c:v>
                </c:pt>
                <c:pt idx="17" formatCode="_(&quot;R$&quot;* #,##0.00_);_(&quot;R$&quot;* \(#,##0.00\);_(&quot;R$&quot;* &quot;-&quot;??_);_(@_)">
                  <c:v>0.79197163043440189</c:v>
                </c:pt>
                <c:pt idx="18" formatCode="_(&quot;R$&quot;* #,##0.00_);_(&quot;R$&quot;* \(#,##0.00\);_(&quot;R$&quot;* &quot;-&quot;??_);_(@_)">
                  <c:v>0.83324774383775557</c:v>
                </c:pt>
                <c:pt idx="19" formatCode="_(&quot;R$&quot;* #,##0.00_);_(&quot;R$&quot;* \(#,##0.00\);_(&quot;R$&quot;* &quot;-&quot;??_);_(@_)">
                  <c:v>0.83324774383775557</c:v>
                </c:pt>
                <c:pt idx="20" formatCode="_(&quot;R$&quot;* #,##0.00_);_(&quot;R$&quot;* \(#,##0.00\);_(&quot;R$&quot;* &quot;-&quot;??_);_(@_)">
                  <c:v>0.83324774383775557</c:v>
                </c:pt>
                <c:pt idx="21" formatCode="_(&quot;R$&quot;* #,##0.00_);_(&quot;R$&quot;* \(#,##0.00\);_(&quot;R$&quot;* &quot;-&quot;??_);_(@_)">
                  <c:v>0.83324774383775557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0.1301190847661873</c:v>
                </c:pt>
                <c:pt idx="3" formatCode="_(&quot;R$&quot;* #,##0.00_);_(&quot;R$&quot;* \(#,##0.00\);_(&quot;R$&quot;* &quot;-&quot;??_);_(@_)">
                  <c:v>0.17360247696116421</c:v>
                </c:pt>
                <c:pt idx="4" formatCode="_(&quot;R$&quot;* #,##0.00_);_(&quot;R$&quot;* \(#,##0.00\);_(&quot;R$&quot;* &quot;-&quot;??_);_(@_)">
                  <c:v>0.21697550521655998</c:v>
                </c:pt>
                <c:pt idx="5" formatCode="_(&quot;R$&quot;* #,##0.00_);_(&quot;R$&quot;* \(#,##0.00\);_(&quot;R$&quot;* &quot;-&quot;??_);_(@_)">
                  <c:v>0.26034853347195575</c:v>
                </c:pt>
                <c:pt idx="6" formatCode="_(&quot;R$&quot;* #,##0.00_);_(&quot;R$&quot;* \(#,##0.00\);_(&quot;R$&quot;* &quot;-&quot;??_);_(@_)">
                  <c:v>0.30339046990860802</c:v>
                </c:pt>
                <c:pt idx="7" formatCode="_(&quot;R$&quot;* #,##0.00_);_(&quot;R$&quot;* \(#,##0.00\);_(&quot;R$&quot;* &quot;-&quot;??_);_(@_)">
                  <c:v>0.34632204240567915</c:v>
                </c:pt>
                <c:pt idx="8" formatCode="_(&quot;R$&quot;* #,##0.00_);_(&quot;R$&quot;* \(#,##0.00\);_(&quot;R$&quot;* &quot;-&quot;??_);_(@_)">
                  <c:v>0.38936397884233143</c:v>
                </c:pt>
                <c:pt idx="9" formatCode="_(&quot;R$&quot;* #,##0.00_);_(&quot;R$&quot;* \(#,##0.00\);_(&quot;R$&quot;* &quot;-&quot;??_);_(@_)">
                  <c:v>0.43251627921856484</c:v>
                </c:pt>
                <c:pt idx="10" formatCode="_(&quot;R$&quot;* #,##0.00_);_(&quot;R$&quot;* \(#,##0.00\);_(&quot;R$&quot;* &quot;-&quot;??_);_(@_)">
                  <c:v>0.47544785171563597</c:v>
                </c:pt>
                <c:pt idx="11" formatCode="_(&quot;R$&quot;* #,##0.00_);_(&quot;R$&quot;* \(#,##0.00\);_(&quot;R$&quot;* &quot;-&quot;??_);_(@_)">
                  <c:v>0.51826906027312591</c:v>
                </c:pt>
                <c:pt idx="12" formatCode="_(&quot;R$&quot;* #,##0.00_);_(&quot;R$&quot;* \(#,##0.00\);_(&quot;R$&quot;* &quot;-&quot;??_);_(@_)">
                  <c:v>0.56120063277019705</c:v>
                </c:pt>
                <c:pt idx="13" formatCode="_(&quot;R$&quot;* #,##0.00_);_(&quot;R$&quot;* \(#,##0.00\);_(&quot;R$&quot;* &quot;-&quot;??_);_(@_)">
                  <c:v>0.6028078379922942</c:v>
                </c:pt>
                <c:pt idx="14" formatCode="_(&quot;R$&quot;* #,##0.00_);_(&quot;R$&quot;* \(#,##0.00\);_(&quot;R$&quot;* &quot;-&quot;??_);_(@_)">
                  <c:v>0.64441504321439136</c:v>
                </c:pt>
                <c:pt idx="15" formatCode="_(&quot;R$&quot;* #,##0.00_);_(&quot;R$&quot;* \(#,##0.00\);_(&quot;R$&quot;* &quot;-&quot;??_);_(@_)">
                  <c:v>0.68591188449690743</c:v>
                </c:pt>
                <c:pt idx="16" formatCode="_(&quot;R$&quot;* #,##0.00_);_(&quot;R$&quot;* \(#,##0.00\);_(&quot;R$&quot;* &quot;-&quot;??_);_(@_)">
                  <c:v>0.72707763396068004</c:v>
                </c:pt>
                <c:pt idx="17" formatCode="_(&quot;R$&quot;* #,##0.00_);_(&quot;R$&quot;* \(#,##0.00\);_(&quot;R$&quot;* &quot;-&quot;??_);_(@_)">
                  <c:v>0.76813301948487145</c:v>
                </c:pt>
                <c:pt idx="18" formatCode="_(&quot;R$&quot;* #,##0.00_);_(&quot;R$&quot;* \(#,##0.00\);_(&quot;R$&quot;* &quot;-&quot;??_);_(@_)">
                  <c:v>0.80808476561325127</c:v>
                </c:pt>
                <c:pt idx="19" formatCode="_(&quot;R$&quot;* #,##0.00_);_(&quot;R$&quot;* \(#,##0.00\);_(&quot;R$&quot;* &quot;-&quot;??_);_(@_)">
                  <c:v>0.80808476561325127</c:v>
                </c:pt>
                <c:pt idx="20" formatCode="_(&quot;R$&quot;* #,##0.00_);_(&quot;R$&quot;* \(#,##0.00\);_(&quot;R$&quot;* &quot;-&quot;??_);_(@_)">
                  <c:v>0.80808476561325127</c:v>
                </c:pt>
                <c:pt idx="21" formatCode="_(&quot;R$&quot;* #,##0.00_);_(&quot;R$&quot;* \(#,##0.00\);_(&quot;R$&quot;* &quot;-&quot;??_);_(@_)">
                  <c:v>0.80808476561325127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9780768"/>
        <c:axId val="12197802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  <c:pt idx="3" formatCode="&quot;R$&quot;#,##0.00_);[Red]\(&quot;R$&quot;#,##0.00\)">
                        <c:v>1716.86</c:v>
                      </c:pt>
                      <c:pt idx="4" formatCode="&quot;R$&quot;#,##0.00_);[Red]\(&quot;R$&quot;#,##0.00\)">
                        <c:v>1718.57</c:v>
                      </c:pt>
                      <c:pt idx="5" formatCode="&quot;R$&quot;#,##0.00_);[Red]\(&quot;R$&quot;#,##0.00\)">
                        <c:v>1718.91</c:v>
                      </c:pt>
                      <c:pt idx="6" formatCode="&quot;R$&quot;#,##0.00_);[Red]\(&quot;R$&quot;#,##0.00\)">
                        <c:v>1727.14</c:v>
                      </c:pt>
                      <c:pt idx="7" formatCode="&quot;R$&quot;#,##0.00_);[Red]\(&quot;R$&quot;#,##0.00\)">
                        <c:v>1730.12</c:v>
                      </c:pt>
                      <c:pt idx="8" formatCode="&quot;R$&quot;#,##0.00_);[Red]\(&quot;R$&quot;#,##0.00\)">
                        <c:v>1727.83</c:v>
                      </c:pt>
                      <c:pt idx="9" formatCode="&quot;R$&quot;#,##0.00_);[Red]\(&quot;R$&quot;#,##0.00\)">
                        <c:v>1725.55</c:v>
                      </c:pt>
                      <c:pt idx="10" formatCode="&quot;R$&quot;#,##0.00_);[Red]\(&quot;R$&quot;#,##0.00\)">
                        <c:v>1731.09</c:v>
                      </c:pt>
                      <c:pt idx="11" formatCode="&quot;R$&quot;#,##0.00_);[Red]\(&quot;R$&quot;#,##0.00\)">
                        <c:v>1734.01</c:v>
                      </c:pt>
                      <c:pt idx="12" formatCode="&quot;R$&quot;#,##0.00_);[Red]\(&quot;R$&quot;#,##0.00\)">
                        <c:v>1731.65</c:v>
                      </c:pt>
                      <c:pt idx="13" formatCode="&quot;R$&quot;#,##0.00_);[Red]\(&quot;R$&quot;#,##0.00\)">
                        <c:v>1763.91</c:v>
                      </c:pt>
                      <c:pt idx="14" formatCode="&quot;R$&quot;#,##0.00_);[Red]\(&quot;R$&quot;#,##0.00\)">
                        <c:v>1764.18</c:v>
                      </c:pt>
                      <c:pt idx="15" formatCode="&quot;R$&quot;#,##0.00_);[Red]\(&quot;R$&quot;#,##0.00\)">
                        <c:v>1767.15</c:v>
                      </c:pt>
                      <c:pt idx="16" formatCode="&quot;R$&quot;#,##0.00_);[Red]\(&quot;R$&quot;#,##0.00\)">
                        <c:v>1775.24</c:v>
                      </c:pt>
                      <c:pt idx="17" formatCode="&quot;R$&quot;#,##0.00_);[Red]\(&quot;R$&quot;#,##0.00\)">
                        <c:v>1778.19</c:v>
                      </c:pt>
                      <c:pt idx="18" formatCode="&quot;R$&quot;#,##0.00_);[Red]\(&quot;R$&quot;#,##0.00\)">
                        <c:v>1805.73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  <c:pt idx="3" formatCode="&quot;R$&quot;#,##0.00_);[Red]\(&quot;R$&quot;#,##0.00\)">
                        <c:v>1748.62</c:v>
                      </c:pt>
                      <c:pt idx="4" formatCode="&quot;R$&quot;#,##0.00_);[Red]\(&quot;R$&quot;#,##0.00\)">
                        <c:v>1750.35</c:v>
                      </c:pt>
                      <c:pt idx="5" formatCode="&quot;R$&quot;#,##0.00_);[Red]\(&quot;R$&quot;#,##0.00\)">
                        <c:v>1750.69</c:v>
                      </c:pt>
                      <c:pt idx="6" formatCode="&quot;R$&quot;#,##0.00_);[Red]\(&quot;R$&quot;#,##0.00\)">
                        <c:v>1759.08</c:v>
                      </c:pt>
                      <c:pt idx="7" formatCode="&quot;R$&quot;#,##0.00_);[Red]\(&quot;R$&quot;#,##0.00\)">
                        <c:v>1762.11</c:v>
                      </c:pt>
                      <c:pt idx="8" formatCode="&quot;R$&quot;#,##0.00_);[Red]\(&quot;R$&quot;#,##0.00\)">
                        <c:v>1759.76</c:v>
                      </c:pt>
                      <c:pt idx="9" formatCode="&quot;R$&quot;#,##0.00_);[Red]\(&quot;R$&quot;#,##0.00\)">
                        <c:v>1757.42</c:v>
                      </c:pt>
                      <c:pt idx="10" formatCode="&quot;R$&quot;#,##0.00_);[Red]\(&quot;R$&quot;#,##0.00\)">
                        <c:v>1763.07</c:v>
                      </c:pt>
                      <c:pt idx="11" formatCode="&quot;R$&quot;#,##0.00_);[Red]\(&quot;R$&quot;#,##0.00\)">
                        <c:v>1766.04</c:v>
                      </c:pt>
                      <c:pt idx="12" formatCode="&quot;R$&quot;#,##0.00_);[Red]\(&quot;R$&quot;#,##0.00\)">
                        <c:v>1763.63</c:v>
                      </c:pt>
                      <c:pt idx="13" formatCode="&quot;R$&quot;#,##0.00_);[Red]\(&quot;R$&quot;#,##0.00\)">
                        <c:v>1796.51</c:v>
                      </c:pt>
                      <c:pt idx="14" formatCode="&quot;R$&quot;#,##0.00_);[Red]\(&quot;R$&quot;#,##0.00\)">
                        <c:v>1796.78</c:v>
                      </c:pt>
                      <c:pt idx="15" formatCode="&quot;R$&quot;#,##0.00_);[Red]\(&quot;R$&quot;#,##0.00\)">
                        <c:v>1799.79</c:v>
                      </c:pt>
                      <c:pt idx="16" formatCode="&quot;R$&quot;#,##0.00_);[Red]\(&quot;R$&quot;#,##0.00\)">
                        <c:v>1808.03</c:v>
                      </c:pt>
                      <c:pt idx="17" formatCode="&quot;R$&quot;#,##0.00_);[Red]\(&quot;R$&quot;#,##0.00\)">
                        <c:v>1811.04</c:v>
                      </c:pt>
                      <c:pt idx="18" formatCode="&quot;R$&quot;#,##0.00_);[Red]\(&quot;R$&quot;#,##0.00\)">
                        <c:v>1839.11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978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9780224"/>
        <c:crosses val="autoZero"/>
        <c:auto val="1"/>
        <c:lblAlgn val="ctr"/>
        <c:lblOffset val="100"/>
        <c:noMultiLvlLbl val="0"/>
      </c:catAx>
      <c:valAx>
        <c:axId val="121978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978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1731.65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AJ1" workbookViewId="0">
      <selection activeCell="AO4" sqref="AO4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>
        <v>43622</v>
      </c>
      <c r="K3" s="21">
        <v>43622</v>
      </c>
      <c r="L3" s="22">
        <v>43623</v>
      </c>
      <c r="M3" s="23">
        <v>43623</v>
      </c>
      <c r="N3" s="22">
        <v>43626</v>
      </c>
      <c r="O3" s="23">
        <v>43626</v>
      </c>
      <c r="P3" s="22">
        <v>43627</v>
      </c>
      <c r="Q3" s="23">
        <v>43627</v>
      </c>
      <c r="R3" s="22">
        <v>43628</v>
      </c>
      <c r="S3" s="23">
        <v>43628</v>
      </c>
      <c r="T3" s="22">
        <v>43629</v>
      </c>
      <c r="U3" s="23">
        <v>43629</v>
      </c>
      <c r="V3" s="22">
        <v>43630</v>
      </c>
      <c r="W3" s="23">
        <v>43630</v>
      </c>
      <c r="X3" s="22">
        <v>43633</v>
      </c>
      <c r="Y3" s="23">
        <v>43633</v>
      </c>
      <c r="Z3" s="22">
        <v>43634</v>
      </c>
      <c r="AA3" s="23">
        <v>43634</v>
      </c>
      <c r="AB3" s="22">
        <v>43635</v>
      </c>
      <c r="AC3" s="24">
        <v>43635</v>
      </c>
      <c r="AD3" s="22">
        <v>43637</v>
      </c>
      <c r="AE3" s="23">
        <v>43637</v>
      </c>
      <c r="AF3" s="22">
        <v>43640</v>
      </c>
      <c r="AG3" s="23">
        <v>43640</v>
      </c>
      <c r="AH3" s="22">
        <v>43641</v>
      </c>
      <c r="AI3" s="23">
        <v>43641</v>
      </c>
      <c r="AJ3" s="22">
        <v>43642</v>
      </c>
      <c r="AK3" s="23">
        <v>43642</v>
      </c>
      <c r="AL3" s="22">
        <v>43643</v>
      </c>
      <c r="AM3" s="23">
        <v>43643</v>
      </c>
      <c r="AN3" s="22">
        <v>43644</v>
      </c>
      <c r="AO3" s="23">
        <v>43644</v>
      </c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31">
        <v>4.05</v>
      </c>
      <c r="I4" s="32">
        <v>1719.08</v>
      </c>
      <c r="J4" s="31">
        <v>4.0599999999999996</v>
      </c>
      <c r="K4" s="32">
        <v>1716.86</v>
      </c>
      <c r="L4" s="31">
        <v>4.05</v>
      </c>
      <c r="M4" s="32">
        <v>1718.57</v>
      </c>
      <c r="N4" s="31">
        <v>4.05</v>
      </c>
      <c r="O4" s="32">
        <v>1718.91</v>
      </c>
      <c r="P4" s="31">
        <v>4.0199999999999996</v>
      </c>
      <c r="Q4" s="32">
        <v>1727.14</v>
      </c>
      <c r="R4" s="31">
        <v>4.01</v>
      </c>
      <c r="S4" s="32">
        <v>1730.12</v>
      </c>
      <c r="T4" s="31">
        <v>4.0199999999999996</v>
      </c>
      <c r="U4" s="32">
        <v>1727.83</v>
      </c>
      <c r="V4" s="31">
        <v>4.03</v>
      </c>
      <c r="W4" s="32">
        <v>1725.55</v>
      </c>
      <c r="X4" s="31">
        <v>4.01</v>
      </c>
      <c r="Y4" s="33">
        <v>1731.09</v>
      </c>
      <c r="Z4" s="31">
        <v>4</v>
      </c>
      <c r="AA4" s="32">
        <v>1734.01</v>
      </c>
      <c r="AB4" s="31">
        <v>4.01</v>
      </c>
      <c r="AC4" s="32">
        <v>1731.65</v>
      </c>
      <c r="AD4" s="31">
        <v>3.89</v>
      </c>
      <c r="AE4" s="32">
        <v>1763.91</v>
      </c>
      <c r="AF4" s="31">
        <v>3.89</v>
      </c>
      <c r="AG4" s="32">
        <v>1764.18</v>
      </c>
      <c r="AH4" s="31">
        <v>3.88</v>
      </c>
      <c r="AI4" s="32">
        <v>1767.15</v>
      </c>
      <c r="AJ4" s="31">
        <v>3.85</v>
      </c>
      <c r="AK4" s="32">
        <v>1775.24</v>
      </c>
      <c r="AL4" s="31">
        <v>3.84</v>
      </c>
      <c r="AM4" s="32">
        <v>1778.19</v>
      </c>
      <c r="AN4" s="31">
        <v>3.74</v>
      </c>
      <c r="AO4" s="32">
        <v>1805.73</v>
      </c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42">
        <v>3.93</v>
      </c>
      <c r="I5" s="43">
        <v>1750.89</v>
      </c>
      <c r="J5" s="42">
        <v>3.94</v>
      </c>
      <c r="K5" s="43">
        <v>1748.62</v>
      </c>
      <c r="L5" s="42">
        <v>3.93</v>
      </c>
      <c r="M5" s="15">
        <v>1750.35</v>
      </c>
      <c r="N5" s="42">
        <v>3.93</v>
      </c>
      <c r="O5" s="15">
        <v>1750.69</v>
      </c>
      <c r="P5" s="42">
        <v>3.9</v>
      </c>
      <c r="Q5" s="43">
        <v>1759.08</v>
      </c>
      <c r="R5" s="42">
        <v>3.89</v>
      </c>
      <c r="S5" s="43">
        <v>1762.11</v>
      </c>
      <c r="T5" s="42">
        <v>3.9</v>
      </c>
      <c r="U5" s="43">
        <v>1759.76</v>
      </c>
      <c r="V5" s="42">
        <v>3.91</v>
      </c>
      <c r="W5" s="43">
        <v>1757.42</v>
      </c>
      <c r="X5" s="42">
        <v>3.89</v>
      </c>
      <c r="Y5" s="48">
        <v>1763.07</v>
      </c>
      <c r="Z5" s="42">
        <v>3.88</v>
      </c>
      <c r="AA5" s="43">
        <v>1766.04</v>
      </c>
      <c r="AB5" s="42">
        <v>3.89</v>
      </c>
      <c r="AC5" s="43">
        <v>1763.63</v>
      </c>
      <c r="AD5" s="42">
        <v>3.77</v>
      </c>
      <c r="AE5" s="43">
        <v>1796.51</v>
      </c>
      <c r="AF5" s="42">
        <v>3.77</v>
      </c>
      <c r="AG5" s="43">
        <v>1796.78</v>
      </c>
      <c r="AH5" s="42">
        <v>3.76</v>
      </c>
      <c r="AI5" s="43">
        <v>1799.79</v>
      </c>
      <c r="AJ5" s="42">
        <v>3.73</v>
      </c>
      <c r="AK5" s="43">
        <v>1808.03</v>
      </c>
      <c r="AL5" s="42">
        <v>3.72</v>
      </c>
      <c r="AM5" s="43">
        <v>1811.04</v>
      </c>
      <c r="AN5" s="42">
        <v>3.62</v>
      </c>
      <c r="AO5" s="43">
        <v>1839.11</v>
      </c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f>$B$6/E4</f>
        <v>0.23635021341885021</v>
      </c>
      <c r="E6" s="45">
        <f>(((D4/365)*$B$7)/100)</f>
        <v>4.5138851288694319E-2</v>
      </c>
      <c r="F6" s="46">
        <f>$B$6/G4</f>
        <v>0.23342387244852411</v>
      </c>
      <c r="G6" s="45">
        <f>(((F4/365)*$B$7)/100)+E6</f>
        <v>8.9394791060739359E-2</v>
      </c>
      <c r="H6" s="46">
        <f t="shared" ref="H6" si="0">$B$6/I4</f>
        <v>0.23479936621722805</v>
      </c>
      <c r="I6" s="45">
        <f t="shared" ref="I6:I7" si="1">(((H4/365)*$B$7)/100)+G6</f>
        <v>0.13409218659110902</v>
      </c>
      <c r="J6" s="46">
        <f t="shared" ref="J6" si="2">$B$6/K4</f>
        <v>0.23510297547657491</v>
      </c>
      <c r="K6" s="45">
        <f t="shared" ref="K6:K7" si="3">(((J4/365)*$B$7)/100)+I6</f>
        <v>0.17889994606105986</v>
      </c>
      <c r="L6" s="46">
        <f t="shared" ref="L6" si="4">$B$6/M4</f>
        <v>0.23486904489006116</v>
      </c>
      <c r="M6" s="45">
        <f t="shared" ref="M6:M7" si="5">(((L4/365)*$B$7)/100)+K6</f>
        <v>0.22359734159142952</v>
      </c>
      <c r="N6" s="46">
        <f t="shared" ref="N6" si="6">$B$6/O4</f>
        <v>0.23482258784736396</v>
      </c>
      <c r="O6" s="45">
        <f t="shared" ref="O6:O7" si="7">(((N4/365)*$B$7)/100)+M6</f>
        <v>0.26829473712179919</v>
      </c>
      <c r="P6" s="46">
        <f t="shared" ref="P6" si="8">$B$6/Q4</f>
        <v>0.233703634028922</v>
      </c>
      <c r="Q6" s="45">
        <f t="shared" ref="Q6:Q7" si="9">(((P4/365)*$B$7)/100)+O6</f>
        <v>0.31266104083342539</v>
      </c>
      <c r="R6" s="46">
        <f t="shared" ref="R6" si="10">$B$6/S4</f>
        <v>0.23330109730926896</v>
      </c>
      <c r="S6" s="45">
        <f t="shared" ref="S6:S7" si="11">(((R4/365)*$B$7)/100)+Q6</f>
        <v>0.35691698060547045</v>
      </c>
      <c r="T6" s="46">
        <f t="shared" ref="T6" si="12">$B$6/U4</f>
        <v>0.23361030568789315</v>
      </c>
      <c r="U6" s="45">
        <f t="shared" ref="U6:U7" si="13">(((T4/365)*$B$7)/100)+S6</f>
        <v>0.40128328431709664</v>
      </c>
      <c r="V6" s="46">
        <f t="shared" ref="V6" si="14">$B$6/W4</f>
        <v>0.23391897915256724</v>
      </c>
      <c r="W6" s="45">
        <f t="shared" ref="W6:W7" si="15">(((V4/365)*$B$7)/100)+U6</f>
        <v>0.44575995196830398</v>
      </c>
      <c r="X6" s="46">
        <f t="shared" ref="X6" si="16">$B$6/Y4</f>
        <v>0.23317036923366918</v>
      </c>
      <c r="Y6" s="45">
        <f t="shared" ref="Y6:Y7" si="17">(((X4/365)*$B$7)/100)+W6</f>
        <v>0.49001589174034904</v>
      </c>
      <c r="Z6" s="46">
        <f t="shared" ref="Z6" si="18">$B$6/AA4</f>
        <v>0.23277772012659234</v>
      </c>
      <c r="AA6" s="45">
        <f t="shared" ref="AA6:AA7" si="19">(((Z4/365)*$B$7)/100)+Y6</f>
        <v>0.53416146757281291</v>
      </c>
      <c r="AB6" s="46">
        <f t="shared" ref="AB6" si="20">$B$6/AC4</f>
        <v>0.23309496403817884</v>
      </c>
      <c r="AC6" s="45">
        <f t="shared" ref="AC6:AC7" si="21">(((AB4/365)*$B$7)/100)+AA6</f>
        <v>0.57841740734485791</v>
      </c>
      <c r="AD6" s="46">
        <f t="shared" ref="AD6" si="22">$B$6/AE4</f>
        <v>0.22883191006157477</v>
      </c>
      <c r="AE6" s="45">
        <f t="shared" ref="AE6:AE7" si="23">(((AD4/365)*$B$7)/100)+AC6</f>
        <v>0.62134897984192905</v>
      </c>
      <c r="AF6" s="46">
        <f t="shared" ref="AF6" si="24">$B$6/AG4</f>
        <v>0.22879688834286319</v>
      </c>
      <c r="AG6" s="45">
        <f t="shared" ref="AG6:AG7" si="25">(((AF4/365)*$B$7)/100)+AE6</f>
        <v>0.66428055233900019</v>
      </c>
      <c r="AH6" s="46">
        <f>$B$6/AI4</f>
        <v>0.22841235575741298</v>
      </c>
      <c r="AI6" s="45">
        <f t="shared" ref="AI6:AI7" si="26">(((AH4/365)*$B$7)/100)+AG6</f>
        <v>0.70710176089649013</v>
      </c>
      <c r="AJ6" s="46">
        <f>$B$6/AK4</f>
        <v>0.22737145088929517</v>
      </c>
      <c r="AK6" s="45">
        <f t="shared" ref="AK6:AK7" si="27">(((AJ4/365)*$B$7)/100)+AI6</f>
        <v>0.7495918776352366</v>
      </c>
      <c r="AL6" s="46">
        <f>$B$6/AM4</f>
        <v>0.22699424385285732</v>
      </c>
      <c r="AM6" s="45">
        <f t="shared" ref="AM6:AM7" si="28">(((AL4/365)*$B$7)/100)+AK6</f>
        <v>0.79197163043440189</v>
      </c>
      <c r="AN6" s="46">
        <f>$B$6/AO4</f>
        <v>0.22353225259408238</v>
      </c>
      <c r="AO6" s="45">
        <f t="shared" ref="AO6:AO7" si="29">(((AN4/365)*$B$7)/100)+AM6</f>
        <v>0.83324774383775557</v>
      </c>
      <c r="AP6" s="46" t="e">
        <f>$B$6/AQ4</f>
        <v>#DIV/0!</v>
      </c>
      <c r="AQ6" s="45">
        <f t="shared" ref="AQ6:AQ7" si="30">(((AP4/365)*$B$7)/100)+AO6</f>
        <v>0.83324774383775557</v>
      </c>
      <c r="AR6" s="46" t="e">
        <f>$B$6/AS4</f>
        <v>#DIV/0!</v>
      </c>
      <c r="AS6" s="45">
        <f t="shared" ref="AS6:AS7" si="31">(((AR4/365)*$B$7)/100)+AQ6</f>
        <v>0.83324774383775557</v>
      </c>
      <c r="AT6" s="46" t="e">
        <f>$B$6/AU4</f>
        <v>#DIV/0!</v>
      </c>
      <c r="AU6" s="45">
        <f t="shared" ref="AU6:AU7" si="32">(((AT4/365)*$B$7)/100)+AS6</f>
        <v>0.83324774383775557</v>
      </c>
      <c r="AV6" s="49">
        <f>AU6-E6</f>
        <v>0.78810889254906125</v>
      </c>
    </row>
    <row r="7" spans="1:119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f>$B$7/E5</f>
        <v>0.23158909024970126</v>
      </c>
      <c r="E7" s="45">
        <f>(((D5/365)*$B$7)/100)</f>
        <v>4.3814484013720401E-2</v>
      </c>
      <c r="F7" s="46">
        <f>$B$6/G5</f>
        <v>0.22918011530391397</v>
      </c>
      <c r="G7" s="45">
        <f>(((F5/365)*$B$7)/100)+E7</f>
        <v>8.6746056510791536E-2</v>
      </c>
      <c r="H7" s="46">
        <f t="shared" ref="H7" si="33">$B$6/I5</f>
        <v>0.23053355406491119</v>
      </c>
      <c r="I7" s="45">
        <f t="shared" si="1"/>
        <v>0.1301190847661873</v>
      </c>
      <c r="J7" s="46">
        <f t="shared" ref="J7" si="34">$B$6/K5</f>
        <v>0.23083282501441846</v>
      </c>
      <c r="K7" s="45">
        <f t="shared" si="3"/>
        <v>0.17360247696116421</v>
      </c>
      <c r="L7" s="46">
        <f t="shared" ref="L7" si="35">$B$6/M5</f>
        <v>0.23060467590865394</v>
      </c>
      <c r="M7" s="45">
        <f t="shared" si="5"/>
        <v>0.21697550521655998</v>
      </c>
      <c r="N7" s="46">
        <f t="shared" ref="N7" si="36">$B$6/O5</f>
        <v>0.23055989037277438</v>
      </c>
      <c r="O7" s="45">
        <f t="shared" si="7"/>
        <v>0.26034853347195575</v>
      </c>
      <c r="P7" s="46">
        <f t="shared" ref="P7" si="37">$B$6/Q5</f>
        <v>0.2294602260708509</v>
      </c>
      <c r="Q7" s="45">
        <f t="shared" si="9"/>
        <v>0.30339046990860802</v>
      </c>
      <c r="R7" s="46">
        <f t="shared" ref="R7" si="38">$B$6/S5</f>
        <v>0.22906566245961513</v>
      </c>
      <c r="S7" s="45">
        <f t="shared" si="11"/>
        <v>0.34632204240567915</v>
      </c>
      <c r="T7" s="46">
        <f t="shared" ref="T7" si="39">$B$6/U5</f>
        <v>0.22937155889252647</v>
      </c>
      <c r="U7" s="45">
        <f t="shared" si="13"/>
        <v>0.38936397884233143</v>
      </c>
      <c r="V7" s="46">
        <f t="shared" ref="V7" si="40">$B$6/W5</f>
        <v>0.22967696650585082</v>
      </c>
      <c r="W7" s="45">
        <f t="shared" si="15"/>
        <v>0.43251627921856484</v>
      </c>
      <c r="X7" s="46">
        <f t="shared" ref="X7" si="41">$B$6/Y5</f>
        <v>0.22894093511699048</v>
      </c>
      <c r="Y7" s="45">
        <f t="shared" si="17"/>
        <v>0.47544785171563597</v>
      </c>
      <c r="Z7" s="46">
        <f t="shared" ref="Z7" si="42">$B$6/AA5</f>
        <v>0.2285559185956787</v>
      </c>
      <c r="AA7" s="45">
        <f t="shared" si="19"/>
        <v>0.51826906027312591</v>
      </c>
      <c r="AB7" s="46">
        <f t="shared" ref="AB7" si="43">$B$6/AC5</f>
        <v>0.22886824020725002</v>
      </c>
      <c r="AC7" s="45">
        <f t="shared" si="21"/>
        <v>0.56120063277019705</v>
      </c>
      <c r="AD7" s="46">
        <f t="shared" ref="AD7" si="44">$B$6/AE5</f>
        <v>0.22467945877101289</v>
      </c>
      <c r="AE7" s="45">
        <f t="shared" si="23"/>
        <v>0.6028078379922942</v>
      </c>
      <c r="AF7" s="46">
        <f>$B$6/AG5</f>
        <v>0.22464569645516558</v>
      </c>
      <c r="AG7" s="45">
        <f t="shared" si="25"/>
        <v>0.64441504321439136</v>
      </c>
      <c r="AH7" s="46">
        <f>$B$6/AI5</f>
        <v>0.22426999509760159</v>
      </c>
      <c r="AI7" s="45">
        <f t="shared" si="26"/>
        <v>0.68591188449690743</v>
      </c>
      <c r="AJ7" s="46">
        <f>$B$6/AK5</f>
        <v>0.22324789659281782</v>
      </c>
      <c r="AK7" s="45">
        <f t="shared" si="27"/>
        <v>0.72707763396068004</v>
      </c>
      <c r="AL7" s="46">
        <f>$B$6/AM5</f>
        <v>0.22287685223778181</v>
      </c>
      <c r="AM7" s="45">
        <f t="shared" si="28"/>
        <v>0.76813301948487145</v>
      </c>
      <c r="AN7" s="46">
        <f>$B$6/AO5</f>
        <v>0.21947512355254031</v>
      </c>
      <c r="AO7" s="45">
        <f t="shared" si="29"/>
        <v>0.80808476561325127</v>
      </c>
      <c r="AP7" s="46" t="e">
        <f>$B$6/AQ5</f>
        <v>#DIV/0!</v>
      </c>
      <c r="AQ7" s="45">
        <f t="shared" si="30"/>
        <v>0.80808476561325127</v>
      </c>
      <c r="AR7" s="46" t="e">
        <f>$B$6/AS5</f>
        <v>#DIV/0!</v>
      </c>
      <c r="AS7" s="45">
        <f t="shared" si="31"/>
        <v>0.80808476561325127</v>
      </c>
      <c r="AT7" s="46" t="e">
        <f>$B$6/AU5</f>
        <v>#DIV/0!</v>
      </c>
      <c r="AU7" s="45">
        <f t="shared" si="32"/>
        <v>0.80808476561325127</v>
      </c>
      <c r="AV7" s="49">
        <f>AU7-E7</f>
        <v>0.76427028159953081</v>
      </c>
    </row>
    <row r="8" spans="1:119" x14ac:dyDescent="0.25">
      <c r="AV8" s="49">
        <f>AV6-AV7</f>
        <v>2.3838610949530437E-2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2019-06-28T13:13:15Z</dcterms:modified>
</cp:coreProperties>
</file>