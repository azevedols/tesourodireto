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<sst xmlns="http://schemas.openxmlformats.org/spreadsheetml/2006/main" count="70" uniqueCount="26">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</sst>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  <c:pt idx="16" formatCode="General">
                  <c:v>3.73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53584"/>
        <c:axId val="-7096228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0.22883191006157477</c:v>
                      </c:pt>
                      <c:pt idx="14" formatCode="0.00">
                        <c:v>0.22879688834286319</c:v>
                      </c:pt>
                      <c:pt idx="15" formatCode="0.00">
                        <c:v>0.22841235575741298</c:v>
                      </c:pt>
                      <c:pt idx="16" formatCode="0.00">
                        <c:v>0.22737145088929517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0.22467945877101289</c:v>
                      </c:pt>
                      <c:pt idx="14" formatCode="0.00">
                        <c:v>0.22464569645516558</c:v>
                      </c:pt>
                      <c:pt idx="15" formatCode="0.00">
                        <c:v>0.22426999509760159</c:v>
                      </c:pt>
                      <c:pt idx="16" formatCode="0.00">
                        <c:v>0.22324789659281782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5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2288"/>
        <c:crosses val="autoZero"/>
        <c:auto val="1"/>
        <c:lblAlgn val="ctr"/>
        <c:lblOffset val="100"/>
        <c:noMultiLvlLbl val="0"/>
      </c:catAx>
      <c:valAx>
        <c:axId val="-7096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  <c:pt idx="14" formatCode="&quot;R$&quot;#,##0.00_);[Red]\(&quot;R$&quot;#,##0.00\)">
                  <c:v>1764.18</c:v>
                </c:pt>
                <c:pt idx="15" formatCode="&quot;R$&quot;#,##0.00_);[Red]\(&quot;R$&quot;#,##0.00\)">
                  <c:v>1767.15</c:v>
                </c:pt>
                <c:pt idx="16" formatCode="&quot;R$&quot;#,##0.00_);[Red]\(&quot;R$&quot;#,##0.00\)">
                  <c:v>1775.24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  <c:pt idx="14" formatCode="&quot;R$&quot;#,##0.00_);[Red]\(&quot;R$&quot;#,##0.00\)">
                  <c:v>1796.78</c:v>
                </c:pt>
                <c:pt idx="15" formatCode="&quot;R$&quot;#,##0.00_);[Red]\(&quot;R$&quot;#,##0.00\)">
                  <c:v>1799.79</c:v>
                </c:pt>
                <c:pt idx="16" formatCode="&quot;R$&quot;#,##0.00_);[Red]\(&quot;R$&quot;#,##0.00\)">
                  <c:v>1808.03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54672"/>
        <c:axId val="-70954128"/>
      </c:lineChart>
      <c:catAx>
        <c:axId val="-7095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4128"/>
        <c:crosses val="autoZero"/>
        <c:auto val="1"/>
        <c:lblAlgn val="ctr"/>
        <c:lblOffset val="100"/>
        <c:noMultiLvlLbl val="0"/>
      </c:catAx>
      <c:valAx>
        <c:axId val="-7095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0.22883191006157477</c:v>
                </c:pt>
                <c:pt idx="14" formatCode="0.00">
                  <c:v>0.22879688834286319</c:v>
                </c:pt>
                <c:pt idx="15" formatCode="0.00">
                  <c:v>0.22841235575741298</c:v>
                </c:pt>
                <c:pt idx="16" formatCode="0.00">
                  <c:v>0.22737145088929517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0.22467945877101289</c:v>
                </c:pt>
                <c:pt idx="14" formatCode="0.00">
                  <c:v>0.22464569645516558</c:v>
                </c:pt>
                <c:pt idx="15" formatCode="0.00">
                  <c:v>0.22426999509760159</c:v>
                </c:pt>
                <c:pt idx="16" formatCode="0.00">
                  <c:v>0.22324789659281782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52496"/>
        <c:axId val="-70967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  <c:pt idx="16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5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7184"/>
        <c:crosses val="autoZero"/>
        <c:auto val="1"/>
        <c:lblAlgn val="ctr"/>
        <c:lblOffset val="100"/>
        <c:noMultiLvlLbl val="0"/>
      </c:catAx>
      <c:valAx>
        <c:axId val="-7096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0.62134897984192905</c:v>
                </c:pt>
                <c:pt idx="14" formatCode="_(&quot;R$&quot;* #,##0.00_);_(&quot;R$&quot;* \(#,##0.00\);_(&quot;R$&quot;* &quot;-&quot;??_);_(@_)">
                  <c:v>0.66428055233900019</c:v>
                </c:pt>
                <c:pt idx="15" formatCode="_(&quot;R$&quot;* #,##0.00_);_(&quot;R$&quot;* \(#,##0.00\);_(&quot;R$&quot;* &quot;-&quot;??_);_(@_)">
                  <c:v>0.70710176089649013</c:v>
                </c:pt>
                <c:pt idx="16" formatCode="_(&quot;R$&quot;* #,##0.00_);_(&quot;R$&quot;* \(#,##0.00\);_(&quot;R$&quot;* &quot;-&quot;??_);_(@_)">
                  <c:v>0.7495918776352366</c:v>
                </c:pt>
                <c:pt idx="17" formatCode="_(&quot;R$&quot;* #,##0.00_);_(&quot;R$&quot;* \(#,##0.00\);_(&quot;R$&quot;* &quot;-&quot;??_);_(@_)">
                  <c:v>0.7495918776352366</c:v>
                </c:pt>
                <c:pt idx="18" formatCode="_(&quot;R$&quot;* #,##0.00_);_(&quot;R$&quot;* \(#,##0.00\);_(&quot;R$&quot;* &quot;-&quot;??_);_(@_)">
                  <c:v>0.7495918776352366</c:v>
                </c:pt>
                <c:pt idx="19" formatCode="_(&quot;R$&quot;* #,##0.00_);_(&quot;R$&quot;* \(#,##0.00\);_(&quot;R$&quot;* &quot;-&quot;??_);_(@_)">
                  <c:v>0.7495918776352366</c:v>
                </c:pt>
                <c:pt idx="20" formatCode="_(&quot;R$&quot;* #,##0.00_);_(&quot;R$&quot;* \(#,##0.00\);_(&quot;R$&quot;* &quot;-&quot;??_);_(@_)">
                  <c:v>0.7495918776352366</c:v>
                </c:pt>
                <c:pt idx="21" formatCode="_(&quot;R$&quot;* #,##0.00_);_(&quot;R$&quot;* \(#,##0.00\);_(&quot;R$&quot;* &quot;-&quot;??_);_(@_)">
                  <c:v>0.7495918776352366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26/jun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0.6028078379922942</c:v>
                </c:pt>
                <c:pt idx="14" formatCode="_(&quot;R$&quot;* #,##0.00_);_(&quot;R$&quot;* \(#,##0.00\);_(&quot;R$&quot;* &quot;-&quot;??_);_(@_)">
                  <c:v>0.64441504321439136</c:v>
                </c:pt>
                <c:pt idx="15" formatCode="_(&quot;R$&quot;* #,##0.00_);_(&quot;R$&quot;* \(#,##0.00\);_(&quot;R$&quot;* &quot;-&quot;??_);_(@_)">
                  <c:v>0.68591188449690743</c:v>
                </c:pt>
                <c:pt idx="16" formatCode="_(&quot;R$&quot;* #,##0.00_);_(&quot;R$&quot;* \(#,##0.00\);_(&quot;R$&quot;* &quot;-&quot;??_);_(@_)">
                  <c:v>0.72707763396068004</c:v>
                </c:pt>
                <c:pt idx="17" formatCode="_(&quot;R$&quot;* #,##0.00_);_(&quot;R$&quot;* \(#,##0.00\);_(&quot;R$&quot;* &quot;-&quot;??_);_(@_)">
                  <c:v>0.72707763396068004</c:v>
                </c:pt>
                <c:pt idx="18" formatCode="_(&quot;R$&quot;* #,##0.00_);_(&quot;R$&quot;* \(#,##0.00\);_(&quot;R$&quot;* &quot;-&quot;??_);_(@_)">
                  <c:v>0.72707763396068004</c:v>
                </c:pt>
                <c:pt idx="19" formatCode="_(&quot;R$&quot;* #,##0.00_);_(&quot;R$&quot;* \(#,##0.00\);_(&quot;R$&quot;* &quot;-&quot;??_);_(@_)">
                  <c:v>0.72707763396068004</c:v>
                </c:pt>
                <c:pt idx="20" formatCode="_(&quot;R$&quot;* #,##0.00_);_(&quot;R$&quot;* \(#,##0.00\);_(&quot;R$&quot;* &quot;-&quot;??_);_(@_)">
                  <c:v>0.72707763396068004</c:v>
                </c:pt>
                <c:pt idx="21" formatCode="_(&quot;R$&quot;* #,##0.00_);_(&quot;R$&quot;* \(#,##0.00\);_(&quot;R$&quot;* &quot;-&quot;??_);_(@_)">
                  <c:v>0.72707763396068004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960656"/>
        <c:axId val="-70951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  <c:pt idx="14" formatCode="&quot;R$&quot;#,##0.00_);[Red]\(&quot;R$&quot;#,##0.00\)">
                        <c:v>1764.18</c:v>
                      </c:pt>
                      <c:pt idx="15" formatCode="&quot;R$&quot;#,##0.00_);[Red]\(&quot;R$&quot;#,##0.00\)">
                        <c:v>1767.15</c:v>
                      </c:pt>
                      <c:pt idx="16" formatCode="&quot;R$&quot;#,##0.00_);[Red]\(&quot;R$&quot;#,##0.00\)">
                        <c:v>1775.24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26/jun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  <c:pt idx="14" formatCode="&quot;R$&quot;#,##0.00_);[Red]\(&quot;R$&quot;#,##0.00\)">
                        <c:v>1796.78</c:v>
                      </c:pt>
                      <c:pt idx="15" formatCode="&quot;R$&quot;#,##0.00_);[Red]\(&quot;R$&quot;#,##0.00\)">
                        <c:v>1799.79</c:v>
                      </c:pt>
                      <c:pt idx="16" formatCode="&quot;R$&quot;#,##0.00_);[Red]\(&quot;R$&quot;#,##0.00\)">
                        <c:v>1808.03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96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51952"/>
        <c:crosses val="autoZero"/>
        <c:auto val="1"/>
        <c:lblAlgn val="ctr"/>
        <c:lblOffset val="100"/>
        <c:noMultiLvlLbl val="0"/>
      </c:catAx>
      <c:valAx>
        <c:axId val="-7095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96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J1" workbookViewId="0">
      <selection activeCell="AK4" sqref="AK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>
        <v>43640</v>
      </c>
      <c r="AG3" s="23">
        <v>43640</v>
      </c>
      <c r="AH3" s="22">
        <v>43641</v>
      </c>
      <c r="AI3" s="23">
        <v>43641</v>
      </c>
      <c r="AJ3" s="22">
        <v>43642</v>
      </c>
      <c r="AK3" s="23">
        <v>43642</v>
      </c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>
        <v>3.89</v>
      </c>
      <c r="AG4" s="32">
        <v>1764.18</v>
      </c>
      <c r="AH4" s="31">
        <v>3.88</v>
      </c>
      <c r="AI4" s="32">
        <v>1767.15</v>
      </c>
      <c r="AJ4" s="31">
        <v>3.85</v>
      </c>
      <c r="AK4" s="32">
        <v>1775.24</v>
      </c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>
        <v>3.77</v>
      </c>
      <c r="AG5" s="43">
        <v>1796.78</v>
      </c>
      <c r="AH5" s="42">
        <v>3.76</v>
      </c>
      <c r="AI5" s="43">
        <v>1799.79</v>
      </c>
      <c r="AJ5" s="42">
        <v>3.73</v>
      </c>
      <c r="AK5" s="43">
        <v>1808.03</v>
      </c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>
        <f t="shared" ref="AD6" si="22">$B$6/AE4</f>
        <v>0.22883191006157477</v>
      </c>
      <c r="AE6" s="45">
        <f t="shared" ref="AE6:AE7" si="23">(((AD4/365)*$B$7)/100)+AC6</f>
        <v>0.62134897984192905</v>
      </c>
      <c r="AF6" s="46">
        <f t="shared" ref="AF6" si="24">$B$6/AG4</f>
        <v>0.22879688834286319</v>
      </c>
      <c r="AG6" s="45">
        <f t="shared" ref="AG6:AG7" si="25">(((AF4/365)*$B$7)/100)+AE6</f>
        <v>0.66428055233900019</v>
      </c>
      <c r="AH6" s="46">
        <f>$B$6/AI4</f>
        <v>0.22841235575741298</v>
      </c>
      <c r="AI6" s="45">
        <f t="shared" ref="AI6:AI7" si="26">(((AH4/365)*$B$7)/100)+AG6</f>
        <v>0.70710176089649013</v>
      </c>
      <c r="AJ6" s="46">
        <f>$B$6/AK4</f>
        <v>0.22737145088929517</v>
      </c>
      <c r="AK6" s="45">
        <f t="shared" ref="AK6:AK7" si="27">(((AJ4/365)*$B$7)/100)+AI6</f>
        <v>0.7495918776352366</v>
      </c>
      <c r="AL6" s="46" t="e">
        <f>$B$6/AM4</f>
        <v>#DIV/0!</v>
      </c>
      <c r="AM6" s="45">
        <f t="shared" ref="AM6:AM7" si="28">(((AL4/365)*$B$7)/100)+AK6</f>
        <v>0.7495918776352366</v>
      </c>
      <c r="AN6" s="46" t="e">
        <f>$B$6/AO4</f>
        <v>#DIV/0!</v>
      </c>
      <c r="AO6" s="45">
        <f t="shared" ref="AO6:AO7" si="29">(((AN4/365)*$B$7)/100)+AM6</f>
        <v>0.7495918776352366</v>
      </c>
      <c r="AP6" s="46" t="e">
        <f>$B$6/AQ4</f>
        <v>#DIV/0!</v>
      </c>
      <c r="AQ6" s="45">
        <f t="shared" ref="AQ6:AQ7" si="30">(((AP4/365)*$B$7)/100)+AO6</f>
        <v>0.7495918776352366</v>
      </c>
      <c r="AR6" s="46" t="e">
        <f>$B$6/AS4</f>
        <v>#DIV/0!</v>
      </c>
      <c r="AS6" s="45">
        <f t="shared" ref="AS6:AS7" si="31">(((AR4/365)*$B$7)/100)+AQ6</f>
        <v>0.7495918776352366</v>
      </c>
      <c r="AT6" s="46" t="e">
        <f>$B$6/AU4</f>
        <v>#DIV/0!</v>
      </c>
      <c r="AU6" s="45">
        <f t="shared" ref="AU6:AU7" si="32">(((AT4/365)*$B$7)/100)+AS6</f>
        <v>0.7495918776352366</v>
      </c>
      <c r="AV6" s="49">
        <f>AU6-E6</f>
        <v>0.70445302634654228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>
        <f t="shared" ref="AD7" si="44">$B$6/AE5</f>
        <v>0.22467945877101289</v>
      </c>
      <c r="AE7" s="45">
        <f t="shared" si="23"/>
        <v>0.6028078379922942</v>
      </c>
      <c r="AF7" s="46">
        <f>$B$6/AG5</f>
        <v>0.22464569645516558</v>
      </c>
      <c r="AG7" s="45">
        <f t="shared" si="25"/>
        <v>0.64441504321439136</v>
      </c>
      <c r="AH7" s="46">
        <f>$B$6/AI5</f>
        <v>0.22426999509760159</v>
      </c>
      <c r="AI7" s="45">
        <f t="shared" si="26"/>
        <v>0.68591188449690743</v>
      </c>
      <c r="AJ7" s="46">
        <f>$B$6/AK5</f>
        <v>0.22324789659281782</v>
      </c>
      <c r="AK7" s="45">
        <f t="shared" si="27"/>
        <v>0.72707763396068004</v>
      </c>
      <c r="AL7" s="46" t="e">
        <f>$B$6/AM5</f>
        <v>#DIV/0!</v>
      </c>
      <c r="AM7" s="45">
        <f t="shared" si="28"/>
        <v>0.72707763396068004</v>
      </c>
      <c r="AN7" s="46" t="e">
        <f>$B$6/AO5</f>
        <v>#DIV/0!</v>
      </c>
      <c r="AO7" s="45">
        <f t="shared" si="29"/>
        <v>0.72707763396068004</v>
      </c>
      <c r="AP7" s="46" t="e">
        <f>$B$6/AQ5</f>
        <v>#DIV/0!</v>
      </c>
      <c r="AQ7" s="45">
        <f t="shared" si="30"/>
        <v>0.72707763396068004</v>
      </c>
      <c r="AR7" s="46" t="e">
        <f>$B$6/AS5</f>
        <v>#DIV/0!</v>
      </c>
      <c r="AS7" s="45">
        <f t="shared" si="31"/>
        <v>0.72707763396068004</v>
      </c>
      <c r="AT7" s="46" t="e">
        <f>$B$6/AU5</f>
        <v>#DIV/0!</v>
      </c>
      <c r="AU7" s="45">
        <f t="shared" si="32"/>
        <v>0.72707763396068004</v>
      </c>
      <c r="AV7" s="49">
        <f>AU7-E7</f>
        <v>0.68326314994695969</v>
      </c>
    </row>
    <row r="8" spans="1:119" x14ac:dyDescent="0.25">
      <c r="AV8" s="49">
        <f>AV6-AV7</f>
        <v>2.1189876399582586E-2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2019-06-26T13:16:03Z</dcterms:modified>
</cp:coreProperties>
</file>