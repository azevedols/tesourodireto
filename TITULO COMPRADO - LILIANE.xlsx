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130519" sheetId="1" r:id="rId1"/>
    <sheet name="GRAFICO" sheetId="2" r:id="rId2"/>
  </sheets>
  <externalReferences>
    <externalReference r:id="rId3"/>
    <externalReference r:id="rId4"/>
  </externalReferences>
  <calcPr calcId="152511"/>
</workbook>
</file>

<file path=xl/calcChain.xml><?xml version="1.0" encoding="utf-8"?>
<calcChain xmlns="http://schemas.openxmlformats.org/spreadsheetml/2006/main">
  <c r="AH7" i="2" l="1"/>
  <c r="AH6" i="2"/>
  <c r="AH5" i="2"/>
  <c r="AF5" i="2"/>
  <c r="AG5" i="2"/>
  <c r="AF6" i="2"/>
  <c r="AG6" i="2"/>
  <c r="AD6" i="2" l="1"/>
  <c r="AB6" i="2" l="1"/>
  <c r="Z6" i="2" l="1"/>
  <c r="X6" i="2" l="1"/>
  <c r="V6" i="2" l="1"/>
  <c r="T6" i="2" l="1"/>
  <c r="H6" i="2" l="1"/>
  <c r="J6" i="2"/>
  <c r="L6" i="2"/>
  <c r="N6" i="2"/>
  <c r="P6" i="2"/>
  <c r="R6" i="2"/>
  <c r="G6" i="2"/>
  <c r="I6" i="2" s="1"/>
  <c r="K6" i="2" s="1"/>
  <c r="M6" i="2" s="1"/>
  <c r="O6" i="2" s="1"/>
  <c r="Q6" i="2" s="1"/>
  <c r="S6" i="2" s="1"/>
  <c r="U6" i="2" s="1"/>
  <c r="W6" i="2" s="1"/>
  <c r="Y6" i="2" s="1"/>
  <c r="AA6" i="2" s="1"/>
  <c r="AC6" i="2" s="1"/>
  <c r="AE6" i="2" s="1"/>
  <c r="F6" i="2"/>
  <c r="E6" i="2"/>
  <c r="G5" i="2"/>
  <c r="I5" i="2" s="1"/>
  <c r="K5" i="2" s="1"/>
  <c r="M5" i="2" s="1"/>
  <c r="O5" i="2" s="1"/>
  <c r="Q5" i="2" s="1"/>
  <c r="S5" i="2" s="1"/>
  <c r="U5" i="2" s="1"/>
  <c r="E5" i="2"/>
  <c r="D6" i="2"/>
  <c r="F2" i="1"/>
  <c r="D2" i="1"/>
  <c r="C2" i="1"/>
  <c r="H2" i="1"/>
  <c r="W5" i="2" l="1"/>
  <c r="Y5" i="2" s="1"/>
  <c r="AA5" i="2" s="1"/>
  <c r="AC5" i="2" s="1"/>
  <c r="AE5" i="2" s="1"/>
  <c r="B5" i="2"/>
  <c r="F7" i="1"/>
  <c r="E7" i="1"/>
  <c r="C7" i="1"/>
  <c r="D7" i="1"/>
  <c r="G2" i="1"/>
  <c r="H7" i="1" s="1"/>
  <c r="E2" i="1"/>
  <c r="G7" i="1" s="1"/>
  <c r="A2" i="1"/>
  <c r="AD5" i="2" l="1"/>
  <c r="AB5" i="2"/>
  <c r="Z5" i="2"/>
  <c r="X5" i="2"/>
  <c r="V5" i="2"/>
  <c r="T5" i="2"/>
  <c r="F5" i="2"/>
  <c r="H5" i="2"/>
  <c r="L5" i="2"/>
  <c r="P5" i="2"/>
  <c r="J5" i="2"/>
  <c r="N5" i="2"/>
  <c r="R5" i="2"/>
  <c r="D5" i="2"/>
</calcChain>
</file>

<file path=xl/sharedStrings.xml><?xml version="1.0" encoding="utf-8"?>
<sst xmlns="http://schemas.openxmlformats.org/spreadsheetml/2006/main" count="56" uniqueCount="26">
  <si>
    <t>TÍTULO COMPRADO</t>
  </si>
  <si>
    <t>DATA COMPRA</t>
  </si>
  <si>
    <t>VALOR COMPRADO</t>
  </si>
  <si>
    <t>FRAÇÃO</t>
  </si>
  <si>
    <t>TAXA JUROS COMPRA (%)</t>
  </si>
  <si>
    <t>VALOR TITULO NA COMPRA</t>
  </si>
  <si>
    <t>TAXA JUROS VENDA (%)</t>
  </si>
  <si>
    <t>VALOR TITULO VENDA</t>
  </si>
  <si>
    <t>Título</t>
  </si>
  <si>
    <t>Vencimento</t>
  </si>
  <si>
    <t>Taxa de Rendimento (% a.a.)</t>
  </si>
  <si>
    <t>Preço Unitário</t>
  </si>
  <si>
    <t>Dia/Mês</t>
  </si>
  <si>
    <t>VENDA</t>
  </si>
  <si>
    <t>COMPRA</t>
  </si>
  <si>
    <t>TITULO VENDA</t>
  </si>
  <si>
    <t>TITULO COMPRA</t>
  </si>
  <si>
    <t>Tesouro IPCA+ 2024</t>
  </si>
  <si>
    <t>Tesouro IPCA+</t>
  </si>
  <si>
    <t>Títulos</t>
  </si>
  <si>
    <t>Últ. 30 dias</t>
  </si>
  <si>
    <t>No ano</t>
  </si>
  <si>
    <t>12 meses</t>
  </si>
  <si>
    <t>Compra</t>
  </si>
  <si>
    <t>Venda</t>
  </si>
  <si>
    <t>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</si>
</sst>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#,##0.00;[Red]\-&quot;R$&quot;#,##0.00"/>
    <numFmt numFmtId="4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FFFFFF"/>
      <name val="Verdana"/>
      <family val="2"/>
    </font>
    <font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rgb="FFB2B2B2"/>
        <bgColor indexed="64"/>
      </patternFill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1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Border="1" applyAlignment="1"/>
    <xf numFmtId="8" fontId="2" fillId="0" borderId="0" xfId="0" applyNumberFormat="1" applyFont="1" applyBorder="1" applyAlignment="1">
      <alignment horizontal="right"/>
    </xf>
    <xf numFmtId="0" fontId="2" fillId="0" borderId="0" xfId="1" applyNumberFormat="1" applyFont="1" applyBorder="1" applyAlignment="1">
      <alignment horizontal="right"/>
    </xf>
    <xf numFmtId="0" fontId="2" fillId="0" borderId="0" xfId="0" applyNumberFormat="1" applyFont="1" applyBorder="1" applyAlignment="1">
      <alignment horizontal="right"/>
    </xf>
    <xf numFmtId="8" fontId="0" fillId="0" borderId="0" xfId="0" applyNumberFormat="1"/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wrapText="1"/>
    </xf>
    <xf numFmtId="0" fontId="4" fillId="4" borderId="2" xfId="0" applyFont="1" applyFill="1" applyBorder="1" applyAlignment="1">
      <alignment horizontal="left"/>
    </xf>
    <xf numFmtId="16" fontId="4" fillId="5" borderId="2" xfId="0" applyNumberFormat="1" applyFont="1" applyFill="1" applyBorder="1" applyAlignment="1">
      <alignment horizontal="center" wrapText="1"/>
    </xf>
    <xf numFmtId="16" fontId="4" fillId="5" borderId="3" xfId="0" applyNumberFormat="1" applyFont="1" applyFill="1" applyBorder="1" applyAlignment="1">
      <alignment horizontal="center" wrapText="1"/>
    </xf>
    <xf numFmtId="16" fontId="4" fillId="5" borderId="4" xfId="0" applyNumberFormat="1" applyFont="1" applyFill="1" applyBorder="1" applyAlignment="1">
      <alignment horizontal="center" wrapText="1"/>
    </xf>
    <xf numFmtId="0" fontId="0" fillId="0" borderId="1" xfId="0" applyFont="1" applyBorder="1" applyAlignment="1"/>
    <xf numFmtId="0" fontId="0" fillId="0" borderId="4" xfId="0" applyFont="1" applyBorder="1" applyAlignment="1"/>
    <xf numFmtId="0" fontId="0" fillId="0" borderId="0" xfId="0" applyFont="1" applyBorder="1" applyAlignment="1"/>
    <xf numFmtId="0" fontId="0" fillId="0" borderId="1" xfId="0" applyBorder="1"/>
    <xf numFmtId="0" fontId="0" fillId="0" borderId="0" xfId="0" applyBorder="1"/>
    <xf numFmtId="14" fontId="4" fillId="4" borderId="4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8" fontId="4" fillId="5" borderId="7" xfId="0" applyNumberFormat="1" applyFont="1" applyFill="1" applyBorder="1" applyAlignment="1">
      <alignment horizontal="center" vertical="center"/>
    </xf>
    <xf numFmtId="8" fontId="4" fillId="5" borderId="8" xfId="0" applyNumberFormat="1" applyFont="1" applyFill="1" applyBorder="1" applyAlignment="1">
      <alignment horizontal="center" vertical="center"/>
    </xf>
    <xf numFmtId="8" fontId="0" fillId="0" borderId="1" xfId="0" applyNumberFormat="1" applyBorder="1"/>
    <xf numFmtId="14" fontId="2" fillId="0" borderId="1" xfId="0" applyNumberFormat="1" applyFont="1" applyBorder="1" applyAlignment="1"/>
    <xf numFmtId="2" fontId="0" fillId="0" borderId="1" xfId="0" applyNumberFormat="1" applyBorder="1"/>
    <xf numFmtId="0" fontId="4" fillId="5" borderId="6" xfId="0" applyFont="1" applyFill="1" applyBorder="1" applyAlignment="1">
      <alignment horizontal="center" vertical="center"/>
    </xf>
    <xf numFmtId="44" fontId="0" fillId="0" borderId="1" xfId="2" applyFont="1" applyBorder="1"/>
    <xf numFmtId="0" fontId="3" fillId="3" borderId="5" xfId="0" applyFont="1" applyFill="1" applyBorder="1" applyAlignment="1">
      <alignment wrapText="1"/>
    </xf>
    <xf numFmtId="2" fontId="2" fillId="0" borderId="0" xfId="0" applyNumberFormat="1" applyFont="1" applyBorder="1" applyAlignment="1">
      <alignment horizontal="right"/>
    </xf>
    <xf numFmtId="2" fontId="0" fillId="0" borderId="0" xfId="0" applyNumberFormat="1" applyFont="1" applyBorder="1" applyAlignment="1"/>
    <xf numFmtId="0" fontId="3" fillId="3" borderId="2" xfId="0" applyFont="1" applyFill="1" applyBorder="1" applyAlignment="1">
      <alignment wrapText="1"/>
    </xf>
    <xf numFmtId="0" fontId="4" fillId="5" borderId="2" xfId="0" applyFont="1" applyFill="1" applyBorder="1" applyAlignment="1">
      <alignment horizontal="center" vertical="center"/>
    </xf>
    <xf numFmtId="8" fontId="4" fillId="5" borderId="3" xfId="0" applyNumberFormat="1" applyFont="1" applyFill="1" applyBorder="1" applyAlignment="1">
      <alignment horizontal="center" vertical="center"/>
    </xf>
    <xf numFmtId="2" fontId="0" fillId="0" borderId="9" xfId="0" applyNumberFormat="1" applyBorder="1"/>
    <xf numFmtId="44" fontId="0" fillId="0" borderId="9" xfId="2" applyFont="1" applyBorder="1"/>
    <xf numFmtId="0" fontId="4" fillId="5" borderId="4" xfId="0" applyFont="1" applyFill="1" applyBorder="1" applyAlignment="1">
      <alignment horizontal="center" vertical="center"/>
    </xf>
    <xf numFmtId="8" fontId="4" fillId="5" borderId="4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wrapText="1"/>
    </xf>
    <xf numFmtId="14" fontId="4" fillId="5" borderId="3" xfId="0" applyNumberFormat="1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left"/>
    </xf>
    <xf numFmtId="14" fontId="4" fillId="4" borderId="8" xfId="0" applyNumberFormat="1" applyFont="1" applyFill="1" applyBorder="1" applyAlignment="1">
      <alignment horizontal="center"/>
    </xf>
    <xf numFmtId="14" fontId="0" fillId="0" borderId="0" xfId="0" applyNumberFormat="1"/>
    <xf numFmtId="44" fontId="0" fillId="0" borderId="0" xfId="0" applyNumberFormat="1" applyBorder="1"/>
    <xf numFmtId="44" fontId="0" fillId="0" borderId="0" xfId="0" applyNumberFormat="1"/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GRAFICO!$A$3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:f>
              <c:multiLvlStrCache>
                <c:ptCount val="15"/>
                <c:lvl>
                  <c:pt idx="0">
                    <c:v>13/mai</c:v>
                  </c:pt>
                  <c:pt idx="1">
                    <c:v>14/mai</c:v>
                  </c:pt>
                  <c:pt idx="2">
                    <c:v>15/mai</c:v>
                  </c:pt>
                  <c:pt idx="3">
                    <c:v>16/mai</c:v>
                  </c:pt>
                  <c:pt idx="4">
                    <c:v>17/mai</c:v>
                  </c:pt>
                  <c:pt idx="5">
                    <c:v>20/mai</c:v>
                  </c:pt>
                  <c:pt idx="6">
                    <c:v>21/mai</c:v>
                  </c:pt>
                  <c:pt idx="7">
                    <c:v>22/mai</c:v>
                  </c:pt>
                  <c:pt idx="8">
                    <c:v>23/mai</c:v>
                  </c:pt>
                  <c:pt idx="9">
                    <c:v>24/mai</c:v>
                  </c:pt>
                  <c:pt idx="10">
                    <c:v>27/mai</c:v>
                  </c:pt>
                  <c:pt idx="11">
                    <c:v>28/mai</c:v>
                  </c:pt>
                  <c:pt idx="12">
                    <c:v>29/mai</c:v>
                  </c:pt>
                  <c:pt idx="13">
                    <c:v>30/mai</c:v>
                  </c:pt>
                  <c:pt idx="14">
                    <c:v>31/mai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GRAFICO!$B$3:$AG$3</c15:sqref>
                  </c15:fullRef>
                </c:ext>
              </c:extLst>
              <c:f>(GRAFICO!$D$3,GRAFICO!$F$3,GRAFICO!$H$3,GRAFICO!$J$3,GRAFICO!$L$3,GRAFICO!$N$3,GRAFICO!$P$3,GRAFICO!$R$3,GRAFICO!$T$3,GRAFICO!$V$3,GRAFICO!$X$3,GRAFICO!$Z$3,GRAFICO!$AB$3,GRAFICO!$AD$3,GRAFICO!$AF$3)</c:f>
              <c:numCache>
                <c:formatCode>m/d/yyyy</c:formatCode>
                <c:ptCount val="15"/>
                <c:pt idx="0" formatCode="General">
                  <c:v>4.08</c:v>
                </c:pt>
                <c:pt idx="1" formatCode="General">
                  <c:v>4.1100000000000003</c:v>
                </c:pt>
                <c:pt idx="2" formatCode="General">
                  <c:v>4.0199999999999996</c:v>
                </c:pt>
                <c:pt idx="3" formatCode="General">
                  <c:v>4.03</c:v>
                </c:pt>
                <c:pt idx="4" formatCode="General">
                  <c:v>4.12</c:v>
                </c:pt>
                <c:pt idx="5" formatCode="General">
                  <c:v>4.18</c:v>
                </c:pt>
                <c:pt idx="6" formatCode="General">
                  <c:v>4.1500000000000004</c:v>
                </c:pt>
                <c:pt idx="7" formatCode="General">
                  <c:v>4.09</c:v>
                </c:pt>
                <c:pt idx="8" formatCode="General">
                  <c:v>4.13</c:v>
                </c:pt>
                <c:pt idx="9" formatCode="General">
                  <c:v>4.0599999999999996</c:v>
                </c:pt>
                <c:pt idx="10" formatCode="General">
                  <c:v>4.04</c:v>
                </c:pt>
                <c:pt idx="11" formatCode="General">
                  <c:v>4.01</c:v>
                </c:pt>
                <c:pt idx="12" formatCode="General">
                  <c:v>3.83</c:v>
                </c:pt>
                <c:pt idx="13" formatCode="General">
                  <c:v>3.83</c:v>
                </c:pt>
                <c:pt idx="14" formatCode="General">
                  <c:v>3.82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GRAFICO!$A$4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:f>
              <c:multiLvlStrCache>
                <c:ptCount val="15"/>
                <c:lvl>
                  <c:pt idx="0">
                    <c:v>13/mai</c:v>
                  </c:pt>
                  <c:pt idx="1">
                    <c:v>14/mai</c:v>
                  </c:pt>
                  <c:pt idx="2">
                    <c:v>15/mai</c:v>
                  </c:pt>
                  <c:pt idx="3">
                    <c:v>16/mai</c:v>
                  </c:pt>
                  <c:pt idx="4">
                    <c:v>17/mai</c:v>
                  </c:pt>
                  <c:pt idx="5">
                    <c:v>20/mai</c:v>
                  </c:pt>
                  <c:pt idx="6">
                    <c:v>21/mai</c:v>
                  </c:pt>
                  <c:pt idx="7">
                    <c:v>22/mai</c:v>
                  </c:pt>
                  <c:pt idx="8">
                    <c:v>23/mai</c:v>
                  </c:pt>
                  <c:pt idx="9">
                    <c:v>24/mai</c:v>
                  </c:pt>
                  <c:pt idx="10">
                    <c:v>27/mai</c:v>
                  </c:pt>
                  <c:pt idx="11">
                    <c:v>28/mai</c:v>
                  </c:pt>
                  <c:pt idx="12">
                    <c:v>29/mai</c:v>
                  </c:pt>
                  <c:pt idx="13">
                    <c:v>30/mai</c:v>
                  </c:pt>
                  <c:pt idx="14">
                    <c:v>31/mai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GRAFICO!$B$4:$AG$4</c15:sqref>
                  </c15:fullRef>
                </c:ext>
              </c:extLst>
              <c:f>(GRAFICO!$D$4,GRAFICO!$F$4,GRAFICO!$H$4,GRAFICO!$J$4,GRAFICO!$L$4,GRAFICO!$N$4,GRAFICO!$P$4,GRAFICO!$R$4,GRAFICO!$T$4,GRAFICO!$V$4,GRAFICO!$X$4,GRAFICO!$Z$4,GRAFICO!$AB$4,GRAFICO!$AD$4,GRAFICO!$AF$4)</c:f>
              <c:numCache>
                <c:formatCode>m/d/yyyy</c:formatCode>
                <c:ptCount val="15"/>
                <c:pt idx="0" formatCode="General">
                  <c:v>3.96</c:v>
                </c:pt>
                <c:pt idx="1" formatCode="General">
                  <c:v>3.99</c:v>
                </c:pt>
                <c:pt idx="2" formatCode="General">
                  <c:v>3.9</c:v>
                </c:pt>
                <c:pt idx="3" formatCode="General">
                  <c:v>3.91</c:v>
                </c:pt>
                <c:pt idx="4" formatCode="General">
                  <c:v>4</c:v>
                </c:pt>
                <c:pt idx="5" formatCode="General">
                  <c:v>4.0599999999999996</c:v>
                </c:pt>
                <c:pt idx="6" formatCode="General">
                  <c:v>4.03</c:v>
                </c:pt>
                <c:pt idx="7" formatCode="General">
                  <c:v>3.97</c:v>
                </c:pt>
                <c:pt idx="8" formatCode="General">
                  <c:v>4.01</c:v>
                </c:pt>
                <c:pt idx="9" formatCode="General">
                  <c:v>3.94</c:v>
                </c:pt>
                <c:pt idx="10" formatCode="General">
                  <c:v>3.92</c:v>
                </c:pt>
                <c:pt idx="11" formatCode="General">
                  <c:v>3.89</c:v>
                </c:pt>
                <c:pt idx="12" formatCode="General">
                  <c:v>3.71</c:v>
                </c:pt>
                <c:pt idx="13" formatCode="General">
                  <c:v>3.71</c:v>
                </c:pt>
                <c:pt idx="14" formatCode="General">
                  <c:v>3.7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13864816"/>
        <c:axId val="-61386046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TITULO 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13/mai</c:v>
                        </c:pt>
                        <c:pt idx="1">
                          <c:v>14/mai</c:v>
                        </c:pt>
                        <c:pt idx="2">
                          <c:v>15/mai</c:v>
                        </c:pt>
                        <c:pt idx="3">
                          <c:v>16/mai</c:v>
                        </c:pt>
                        <c:pt idx="4">
                          <c:v>17/mai</c:v>
                        </c:pt>
                        <c:pt idx="5">
                          <c:v>20/mai</c:v>
                        </c:pt>
                        <c:pt idx="6">
                          <c:v>21/mai</c:v>
                        </c:pt>
                        <c:pt idx="7">
                          <c:v>22/mai</c:v>
                        </c:pt>
                        <c:pt idx="8">
                          <c:v>23/mai</c:v>
                        </c:pt>
                        <c:pt idx="9">
                          <c:v>24/mai</c:v>
                        </c:pt>
                        <c:pt idx="10">
                          <c:v>27/mai</c:v>
                        </c:pt>
                        <c:pt idx="11">
                          <c:v>28/mai</c:v>
                        </c:pt>
                        <c:pt idx="12">
                          <c:v>29/mai</c:v>
                        </c:pt>
                        <c:pt idx="13">
                          <c:v>30/mai</c:v>
                        </c:pt>
                        <c:pt idx="14">
                          <c:v>31/mai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GRAFICO!$B$5:$AG$5</c15:sqref>
                        </c15:fullRef>
                        <c15:formulaRef>
                          <c15:sqref>(GRAFICO!$D$5,GRAFICO!$F$5,GRAFICO!$H$5,GRAFICO!$J$5,GRAFICO!$L$5,GRAFICO!$N$5,GRAFICO!$P$5,GRAFICO!$R$5,GRAFICO!$T$5,GRAFICO!$V$5,GRAFICO!$X$5,GRAFICO!$Z$5,GRAFICO!$AB$5,GRAFICO!$AD$5,GRAFICO!$AF$5)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0.00">
                        <c:v>0.37258862690373018</c:v>
                      </c:pt>
                      <c:pt idx="1" formatCode="0.00">
                        <c:v>0.3730209950667891</c:v>
                      </c:pt>
                      <c:pt idx="2" formatCode="0.00">
                        <c:v>0.37124090638744661</c:v>
                      </c:pt>
                      <c:pt idx="3" formatCode="0.00">
                        <c:v>0.37133573635072403</c:v>
                      </c:pt>
                      <c:pt idx="4" formatCode="0.00">
                        <c:v>0.37285534948646981</c:v>
                      </c:pt>
                      <c:pt idx="5" formatCode="0.00">
                        <c:v>0.37388587831581249</c:v>
                      </c:pt>
                      <c:pt idx="6" formatCode="0.00">
                        <c:v>0.37322825912931429</c:v>
                      </c:pt>
                      <c:pt idx="7" formatCode="0.00">
                        <c:v>0.37201227186717378</c:v>
                      </c:pt>
                      <c:pt idx="8" formatCode="0.00">
                        <c:v>0.37266418331593987</c:v>
                      </c:pt>
                      <c:pt idx="9" formatCode="0.00">
                        <c:v>0.37119704622471933</c:v>
                      </c:pt>
                      <c:pt idx="10" formatCode="0.00">
                        <c:v>0.37080982913114896</c:v>
                      </c:pt>
                      <c:pt idx="11" formatCode="0.00">
                        <c:v>0.37016719732024972</c:v>
                      </c:pt>
                      <c:pt idx="12" formatCode="0.00">
                        <c:v>0.3667632905268981</c:v>
                      </c:pt>
                      <c:pt idx="13" formatCode="0.00">
                        <c:v>0.36668044423618568</c:v>
                      </c:pt>
                      <c:pt idx="14" formatCode="0.00">
                        <c:v>0.36635770100695153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GRAFICO!$A$6</c15:sqref>
                        </c15:formulaRef>
                      </c:ext>
                    </c:extLst>
                    <c:strCache>
                      <c:ptCount val="1"/>
                      <c:pt idx="0">
                        <c:v>TITULO 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13/mai</c:v>
                        </c:pt>
                        <c:pt idx="1">
                          <c:v>14/mai</c:v>
                        </c:pt>
                        <c:pt idx="2">
                          <c:v>15/mai</c:v>
                        </c:pt>
                        <c:pt idx="3">
                          <c:v>16/mai</c:v>
                        </c:pt>
                        <c:pt idx="4">
                          <c:v>17/mai</c:v>
                        </c:pt>
                        <c:pt idx="5">
                          <c:v>20/mai</c:v>
                        </c:pt>
                        <c:pt idx="6">
                          <c:v>21/mai</c:v>
                        </c:pt>
                        <c:pt idx="7">
                          <c:v>22/mai</c:v>
                        </c:pt>
                        <c:pt idx="8">
                          <c:v>23/mai</c:v>
                        </c:pt>
                        <c:pt idx="9">
                          <c:v>24/mai</c:v>
                        </c:pt>
                        <c:pt idx="10">
                          <c:v>27/mai</c:v>
                        </c:pt>
                        <c:pt idx="11">
                          <c:v>28/mai</c:v>
                        </c:pt>
                        <c:pt idx="12">
                          <c:v>29/mai</c:v>
                        </c:pt>
                        <c:pt idx="13">
                          <c:v>30/mai</c:v>
                        </c:pt>
                        <c:pt idx="14">
                          <c:v>31/mai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GRAFICO!$B$6:$AG$6</c15:sqref>
                        </c15:fullRef>
                        <c15:formulaRef>
                          <c15:sqref>(GRAFICO!$D$6,GRAFICO!$F$6,GRAFICO!$H$6,GRAFICO!$J$6,GRAFICO!$L$6,GRAFICO!$N$6,GRAFICO!$P$6,GRAFICO!$R$6,GRAFICO!$T$6,GRAFICO!$V$6,GRAFICO!$X$6,GRAFICO!$Z$6,GRAFICO!$AB$6,GRAFICO!$AD$6,GRAFICO!$AF$6)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0.00">
                        <c:v>0.36996619733304947</c:v>
                      </c:pt>
                      <c:pt idx="1" formatCode="0.00">
                        <c:v>0.37039856865506871</c:v>
                      </c:pt>
                      <c:pt idx="2" formatCode="0.00">
                        <c:v>0.36863042242849026</c:v>
                      </c:pt>
                      <c:pt idx="3" formatCode="0.00">
                        <c:v>0.36872541514767965</c:v>
                      </c:pt>
                      <c:pt idx="4" formatCode="0.00">
                        <c:v>0.37023930472635391</c:v>
                      </c:pt>
                      <c:pt idx="5" formatCode="0.00">
                        <c:v>0.37126493358822027</c:v>
                      </c:pt>
                      <c:pt idx="6" formatCode="0.00">
                        <c:v>0.37061301602053798</c:v>
                      </c:pt>
                      <c:pt idx="7" formatCode="0.00">
                        <c:v>0.36940576166684386</c:v>
                      </c:pt>
                      <c:pt idx="8" formatCode="0.00">
                        <c:v>0.37005625007131093</c:v>
                      </c:pt>
                      <c:pt idx="9" formatCode="0.00">
                        <c:v>0.36859969996817848</c:v>
                      </c:pt>
                      <c:pt idx="10" formatCode="0.00">
                        <c:v>0.36821610084504275</c:v>
                      </c:pt>
                      <c:pt idx="11" formatCode="0.00">
                        <c:v>0.36757900304112123</c:v>
                      </c:pt>
                      <c:pt idx="12" formatCode="0.00">
                        <c:v>0.36419713807675463</c:v>
                      </c:pt>
                      <c:pt idx="13" formatCode="0.00">
                        <c:v>0.36411672691619706</c:v>
                      </c:pt>
                      <c:pt idx="14" formatCode="0.00">
                        <c:v>0.36379679724217351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1386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13860464"/>
        <c:crosses val="autoZero"/>
        <c:auto val="1"/>
        <c:lblAlgn val="ctr"/>
        <c:lblOffset val="100"/>
        <c:noMultiLvlLbl val="0"/>
      </c:catAx>
      <c:valAx>
        <c:axId val="-6138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1386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GRAFICO!$A$3</c:f>
              <c:strCache>
                <c:ptCount val="1"/>
                <c:pt idx="0">
                  <c:v>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:f>
              <c:multiLvlStrCache>
                <c:ptCount val="15"/>
                <c:lvl>
                  <c:pt idx="0">
                    <c:v>13/mai</c:v>
                  </c:pt>
                  <c:pt idx="1">
                    <c:v>14/mai</c:v>
                  </c:pt>
                  <c:pt idx="2">
                    <c:v>15/mai</c:v>
                  </c:pt>
                  <c:pt idx="3">
                    <c:v>16/mai</c:v>
                  </c:pt>
                  <c:pt idx="4">
                    <c:v>17/mai</c:v>
                  </c:pt>
                  <c:pt idx="5">
                    <c:v>20/mai</c:v>
                  </c:pt>
                  <c:pt idx="6">
                    <c:v>21/mai</c:v>
                  </c:pt>
                  <c:pt idx="7">
                    <c:v>22/mai</c:v>
                  </c:pt>
                  <c:pt idx="8">
                    <c:v>23/mai</c:v>
                  </c:pt>
                  <c:pt idx="9">
                    <c:v>24/mai</c:v>
                  </c:pt>
                  <c:pt idx="10">
                    <c:v>27/mai</c:v>
                  </c:pt>
                  <c:pt idx="11">
                    <c:v>28/mai</c:v>
                  </c:pt>
                  <c:pt idx="12">
                    <c:v>29/mai</c:v>
                  </c:pt>
                  <c:pt idx="13">
                    <c:v>30/mai</c:v>
                  </c:pt>
                  <c:pt idx="14">
                    <c:v>31/mai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GRAFICO!$B$3:$AG$3</c15:sqref>
                  </c15:fullRef>
                </c:ext>
              </c:extLst>
              <c:f>(GRAFICO!$E$3,GRAFICO!$G$3,GRAFICO!$I$3,GRAFICO!$K$3,GRAFICO!$M$3,GRAFICO!$O$3,GRAFICO!$Q$3,GRAFICO!$S$3,GRAFICO!$U$3,GRAFICO!$W$3,GRAFICO!$Y$3,GRAFICO!$AA$3,GRAFICO!$AC$3,GRAFICO!$AE$3,GRAFICO!$AG$3)</c:f>
              <c:numCache>
                <c:formatCode>m/d/yyyy</c:formatCode>
                <c:ptCount val="15"/>
                <c:pt idx="0" formatCode="&quot;R$&quot;#,##0.00_);[Red]\(&quot;R$&quot;#,##0.00\)">
                  <c:v>2614.1</c:v>
                </c:pt>
                <c:pt idx="1" formatCode="&quot;R$&quot;#,##0.00_);[Red]\(&quot;R$&quot;#,##0.00\)">
                  <c:v>2611.0700000000002</c:v>
                </c:pt>
                <c:pt idx="2" formatCode="&quot;R$&quot;#,##0.00_);[Red]\(&quot;R$&quot;#,##0.00\)">
                  <c:v>2623.59</c:v>
                </c:pt>
                <c:pt idx="3" formatCode="&quot;R$&quot;#,##0.00_);[Red]\(&quot;R$&quot;#,##0.00\)">
                  <c:v>2622.92</c:v>
                </c:pt>
                <c:pt idx="4" formatCode="&quot;R$&quot;#,##0.00_);[Red]\(&quot;R$&quot;#,##0.00\)">
                  <c:v>2612.23</c:v>
                </c:pt>
                <c:pt idx="5" formatCode="&quot;R$&quot;#,##0.00_);[Red]\(&quot;R$&quot;#,##0.00\)">
                  <c:v>2605.0300000000002</c:v>
                </c:pt>
                <c:pt idx="6" formatCode="&quot;R$&quot;#,##0.00_);[Red]\(&quot;R$&quot;#,##0.00\)">
                  <c:v>2609.62</c:v>
                </c:pt>
                <c:pt idx="7" formatCode="&quot;R$&quot;#,##0.00_);[Red]\(&quot;R$&quot;#,##0.00\)">
                  <c:v>2618.15</c:v>
                </c:pt>
                <c:pt idx="8" formatCode="&quot;R$&quot;#,##0.00_);[Red]\(&quot;R$&quot;#,##0.00\)">
                  <c:v>2613.5700000000002</c:v>
                </c:pt>
                <c:pt idx="9" formatCode="&quot;R$&quot;#,##0.00_);[Red]\(&quot;R$&quot;#,##0.00\)">
                  <c:v>2623.9</c:v>
                </c:pt>
                <c:pt idx="10" formatCode="&quot;R$&quot;#,##0.00_);[Red]\(&quot;R$&quot;#,##0.00\)">
                  <c:v>2626.64</c:v>
                </c:pt>
                <c:pt idx="11" formatCode="&quot;R$&quot;#,##0.00_);[Red]\(&quot;R$&quot;#,##0.00\)">
                  <c:v>2631.2</c:v>
                </c:pt>
                <c:pt idx="12" formatCode="&quot;R$&quot;#,##0.00_);[Red]\(&quot;R$&quot;#,##0.00\)">
                  <c:v>2655.62</c:v>
                </c:pt>
                <c:pt idx="13" formatCode="&quot;R$&quot;#,##0.00_);[Red]\(&quot;R$&quot;#,##0.00\)">
                  <c:v>2656.22</c:v>
                </c:pt>
                <c:pt idx="14" formatCode="&quot;R$&quot;#,##0.00_);[Red]\(&quot;R$&quot;#,##0.00\)">
                  <c:v>2658.56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GRAFICO!$A$4</c:f>
              <c:strCache>
                <c:ptCount val="1"/>
                <c:pt idx="0">
                  <c:v>COMPRA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:f>
              <c:multiLvlStrCache>
                <c:ptCount val="15"/>
                <c:lvl>
                  <c:pt idx="0">
                    <c:v>13/mai</c:v>
                  </c:pt>
                  <c:pt idx="1">
                    <c:v>14/mai</c:v>
                  </c:pt>
                  <c:pt idx="2">
                    <c:v>15/mai</c:v>
                  </c:pt>
                  <c:pt idx="3">
                    <c:v>16/mai</c:v>
                  </c:pt>
                  <c:pt idx="4">
                    <c:v>17/mai</c:v>
                  </c:pt>
                  <c:pt idx="5">
                    <c:v>20/mai</c:v>
                  </c:pt>
                  <c:pt idx="6">
                    <c:v>21/mai</c:v>
                  </c:pt>
                  <c:pt idx="7">
                    <c:v>22/mai</c:v>
                  </c:pt>
                  <c:pt idx="8">
                    <c:v>23/mai</c:v>
                  </c:pt>
                  <c:pt idx="9">
                    <c:v>24/mai</c:v>
                  </c:pt>
                  <c:pt idx="10">
                    <c:v>27/mai</c:v>
                  </c:pt>
                  <c:pt idx="11">
                    <c:v>28/mai</c:v>
                  </c:pt>
                  <c:pt idx="12">
                    <c:v>29/mai</c:v>
                  </c:pt>
                  <c:pt idx="13">
                    <c:v>30/mai</c:v>
                  </c:pt>
                  <c:pt idx="14">
                    <c:v>31/mai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GRAFICO!$B$4:$AG$4</c15:sqref>
                  </c15:fullRef>
                </c:ext>
              </c:extLst>
              <c:f>(GRAFICO!$E$4,GRAFICO!$G$4,GRAFICO!$I$4,GRAFICO!$K$4,GRAFICO!$M$4,GRAFICO!$O$4,GRAFICO!$Q$4,GRAFICO!$S$4,GRAFICO!$U$4,GRAFICO!$W$4,GRAFICO!$Y$4,GRAFICO!$AA$4,GRAFICO!$AC$4,GRAFICO!$AE$4,GRAFICO!$AG$4)</c:f>
              <c:numCache>
                <c:formatCode>m/d/yyyy</c:formatCode>
                <c:ptCount val="15"/>
                <c:pt idx="0" formatCode="&quot;R$&quot;#,##0.00_);[Red]\(&quot;R$&quot;#,##0.00\)">
                  <c:v>2629.97</c:v>
                </c:pt>
                <c:pt idx="1" formatCode="&quot;R$&quot;#,##0.00_);[Red]\(&quot;R$&quot;#,##0.00\)">
                  <c:v>2626.9</c:v>
                </c:pt>
                <c:pt idx="2" formatCode="&quot;R$&quot;#,##0.00_);[Red]\(&quot;R$&quot;#,##0.00\)">
                  <c:v>2639.5</c:v>
                </c:pt>
                <c:pt idx="3" formatCode="&quot;R$&quot;#,##0.00_);[Red]\(&quot;R$&quot;#,##0.00\)">
                  <c:v>2638.82</c:v>
                </c:pt>
                <c:pt idx="4" formatCode="&quot;R$&quot;#,##0.00_);[Red]\(&quot;R$&quot;#,##0.00\)">
                  <c:v>2628.03</c:v>
                </c:pt>
                <c:pt idx="5" formatCode="&quot;R$&quot;#,##0.00_);[Red]\(&quot;R$&quot;#,##0.00\)">
                  <c:v>2620.77</c:v>
                </c:pt>
                <c:pt idx="6" formatCode="&quot;R$&quot;#,##0.00_);[Red]\(&quot;R$&quot;#,##0.00\)">
                  <c:v>2625.38</c:v>
                </c:pt>
                <c:pt idx="7" formatCode="&quot;R$&quot;#,##0.00_);[Red]\(&quot;R$&quot;#,##0.00\)">
                  <c:v>2633.96</c:v>
                </c:pt>
                <c:pt idx="8" formatCode="&quot;R$&quot;#,##0.00_);[Red]\(&quot;R$&quot;#,##0.00\)">
                  <c:v>2629.33</c:v>
                </c:pt>
                <c:pt idx="9" formatCode="&quot;R$&quot;#,##0.00_);[Red]\(&quot;R$&quot;#,##0.00\)">
                  <c:v>2639.72</c:v>
                </c:pt>
                <c:pt idx="10" formatCode="&quot;R$&quot;#,##0.00_);[Red]\(&quot;R$&quot;#,##0.00\)">
                  <c:v>2642.47</c:v>
                </c:pt>
                <c:pt idx="11" formatCode="&quot;R$&quot;#,##0.00_);[Red]\(&quot;R$&quot;#,##0.00\)">
                  <c:v>2647.05</c:v>
                </c:pt>
                <c:pt idx="12" formatCode="&quot;R$&quot;#,##0.00_);[Red]\(&quot;R$&quot;#,##0.00\)">
                  <c:v>2671.63</c:v>
                </c:pt>
                <c:pt idx="13" formatCode="&quot;R$&quot;#,##0.00_);[Red]\(&quot;R$&quot;#,##0.00\)">
                  <c:v>2672.22</c:v>
                </c:pt>
                <c:pt idx="14" formatCode="&quot;R$&quot;#,##0.00_);[Red]\(&quot;R$&quot;#,##0.00\)">
                  <c:v>2674.57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13859920"/>
        <c:axId val="-61385393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GRAFICO!$A$5</c15:sqref>
                        </c15:formulaRef>
                      </c:ext>
                    </c:extLst>
                    <c:strCache>
                      <c:ptCount val="1"/>
                      <c:pt idx="0">
                        <c:v>TITULO 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13/mai</c:v>
                        </c:pt>
                        <c:pt idx="1">
                          <c:v>14/mai</c:v>
                        </c:pt>
                        <c:pt idx="2">
                          <c:v>15/mai</c:v>
                        </c:pt>
                        <c:pt idx="3">
                          <c:v>16/mai</c:v>
                        </c:pt>
                        <c:pt idx="4">
                          <c:v>17/mai</c:v>
                        </c:pt>
                        <c:pt idx="5">
                          <c:v>20/mai</c:v>
                        </c:pt>
                        <c:pt idx="6">
                          <c:v>21/mai</c:v>
                        </c:pt>
                        <c:pt idx="7">
                          <c:v>22/mai</c:v>
                        </c:pt>
                        <c:pt idx="8">
                          <c:v>23/mai</c:v>
                        </c:pt>
                        <c:pt idx="9">
                          <c:v>24/mai</c:v>
                        </c:pt>
                        <c:pt idx="10">
                          <c:v>27/mai</c:v>
                        </c:pt>
                        <c:pt idx="11">
                          <c:v>28/mai</c:v>
                        </c:pt>
                        <c:pt idx="12">
                          <c:v>29/mai</c:v>
                        </c:pt>
                        <c:pt idx="13">
                          <c:v>30/mai</c:v>
                        </c:pt>
                        <c:pt idx="14">
                          <c:v>31/mai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GRAFICO!$B$5:$AG$5</c15:sqref>
                        </c15:fullRef>
                        <c15:formulaRef>
                          <c15:sqref>(GRAFICO!$E$5,GRAFICO!$G$5,GRAFICO!$I$5,GRAFICO!$K$5,GRAFICO!$M$5,GRAFICO!$O$5,GRAFICO!$Q$5,GRAFICO!$S$5,GRAFICO!$U$5,GRAFICO!$W$5,GRAFICO!$Y$5,GRAFICO!$AA$5,GRAFICO!$AC$5,GRAFICO!$AE$5,GRAFICO!$AG$5)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_(&quot;R$&quot;* #,##0.00_);_(&quot;R$&quot;* \(#,##0.00\);_(&quot;R$&quot;* &quot;-&quot;??_);_(@_)">
                        <c:v>0.1087627397260274</c:v>
                      </c:pt>
                      <c:pt idx="1" formatCode="_(&quot;R$&quot;* #,##0.00_);_(&quot;R$&quot;* \(#,##0.00\);_(&quot;R$&quot;* &quot;-&quot;??_);_(@_)">
                        <c:v>0.21832520547945206</c:v>
                      </c:pt>
                      <c:pt idx="2" formatCode="_(&quot;R$&quot;* #,##0.00_);_(&quot;R$&quot;* \(#,##0.00\);_(&quot;R$&quot;* &quot;-&quot;??_);_(@_)">
                        <c:v>0.32548849315068495</c:v>
                      </c:pt>
                      <c:pt idx="3" formatCode="_(&quot;R$&quot;* #,##0.00_);_(&quot;R$&quot;* \(#,##0.00\);_(&quot;R$&quot;* &quot;-&quot;??_);_(@_)">
                        <c:v>0.43291835616438357</c:v>
                      </c:pt>
                      <c:pt idx="4" formatCode="_(&quot;R$&quot;* #,##0.00_);_(&quot;R$&quot;* \(#,##0.00\);_(&quot;R$&quot;* &quot;-&quot;??_);_(@_)">
                        <c:v>0.54274739726027399</c:v>
                      </c:pt>
                      <c:pt idx="5" formatCode="_(&quot;R$&quot;* #,##0.00_);_(&quot;R$&quot;* \(#,##0.00\);_(&quot;R$&quot;* &quot;-&quot;??_);_(@_)">
                        <c:v>0.65417589041095892</c:v>
                      </c:pt>
                      <c:pt idx="6" formatCode="_(&quot;R$&quot;* #,##0.00_);_(&quot;R$&quot;* \(#,##0.00\);_(&quot;R$&quot;* &quot;-&quot;??_);_(@_)">
                        <c:v>0.76480465753424665</c:v>
                      </c:pt>
                      <c:pt idx="7" formatCode="_(&quot;R$&quot;* #,##0.00_);_(&quot;R$&quot;* \(#,##0.00\);_(&quot;R$&quot;* &quot;-&quot;??_);_(@_)">
                        <c:v>0.87383397260273976</c:v>
                      </c:pt>
                      <c:pt idx="8" formatCode="_(&quot;R$&quot;* #,##0.00_);_(&quot;R$&quot;* \(#,##0.00\);_(&quot;R$&quot;* &quot;-&quot;??_);_(@_)">
                        <c:v>0.98392958904109595</c:v>
                      </c:pt>
                      <c:pt idx="9" formatCode="_(&quot;R$&quot;* #,##0.00_);_(&quot;R$&quot;* \(#,##0.00\);_(&quot;R$&quot;* &quot;-&quot;??_);_(@_)">
                        <c:v>1.0921591780821918</c:v>
                      </c:pt>
                      <c:pt idx="10" formatCode="_(&quot;R$&quot;* #,##0.00_);_(&quot;R$&quot;* \(#,##0.00\);_(&quot;R$&quot;* &quot;-&quot;??_);_(@_)">
                        <c:v>1.1998556164383563</c:v>
                      </c:pt>
                      <c:pt idx="11" formatCode="_(&quot;R$&quot;* #,##0.00_);_(&quot;R$&quot;* \(#,##0.00\);_(&quot;R$&quot;* &quot;-&quot;??_);_(@_)">
                        <c:v>1.3067523287671234</c:v>
                      </c:pt>
                      <c:pt idx="12" formatCode="_(&quot;R$&quot;* #,##0.00_);_(&quot;R$&quot;* \(#,##0.00\);_(&quot;R$&quot;* &quot;-&quot;??_);_(@_)">
                        <c:v>1.408850684931507</c:v>
                      </c:pt>
                      <c:pt idx="13" formatCode="_(&quot;R$&quot;* #,##0.00_);_(&quot;R$&quot;* \(#,##0.00\);_(&quot;R$&quot;* &quot;-&quot;??_);_(@_)">
                        <c:v>1.5109490410958906</c:v>
                      </c:pt>
                      <c:pt idx="14" formatCode="_(&quot;R$&quot;* #,##0.00_);_(&quot;R$&quot;* \(#,##0.00\);_(&quot;R$&quot;* &quot;-&quot;??_);_(@_)">
                        <c:v>1.6127808219178084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GRAFICO!$A$6</c15:sqref>
                        </c15:formulaRef>
                      </c:ext>
                    </c:extLst>
                    <c:strCache>
                      <c:ptCount val="1"/>
                      <c:pt idx="0">
                        <c:v>TITULO 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13/mai</c:v>
                        </c:pt>
                        <c:pt idx="1">
                          <c:v>14/mai</c:v>
                        </c:pt>
                        <c:pt idx="2">
                          <c:v>15/mai</c:v>
                        </c:pt>
                        <c:pt idx="3">
                          <c:v>16/mai</c:v>
                        </c:pt>
                        <c:pt idx="4">
                          <c:v>17/mai</c:v>
                        </c:pt>
                        <c:pt idx="5">
                          <c:v>20/mai</c:v>
                        </c:pt>
                        <c:pt idx="6">
                          <c:v>21/mai</c:v>
                        </c:pt>
                        <c:pt idx="7">
                          <c:v>22/mai</c:v>
                        </c:pt>
                        <c:pt idx="8">
                          <c:v>23/mai</c:v>
                        </c:pt>
                        <c:pt idx="9">
                          <c:v>24/mai</c:v>
                        </c:pt>
                        <c:pt idx="10">
                          <c:v>27/mai</c:v>
                        </c:pt>
                        <c:pt idx="11">
                          <c:v>28/mai</c:v>
                        </c:pt>
                        <c:pt idx="12">
                          <c:v>29/mai</c:v>
                        </c:pt>
                        <c:pt idx="13">
                          <c:v>30/mai</c:v>
                        </c:pt>
                        <c:pt idx="14">
                          <c:v>31/mai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GRAFICO!$B$6:$AG$6</c15:sqref>
                        </c15:fullRef>
                        <c15:formulaRef>
                          <c15:sqref>(GRAFICO!$E$6,GRAFICO!$G$6,GRAFICO!$I$6,GRAFICO!$K$6,GRAFICO!$M$6,GRAFICO!$O$6,GRAFICO!$Q$6,GRAFICO!$S$6,GRAFICO!$U$6,GRAFICO!$W$6,GRAFICO!$Y$6,GRAFICO!$AA$6,GRAFICO!$AC$6,GRAFICO!$AE$6,GRAFICO!$AG$6)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_(&quot;R$&quot;* #,##0.00_);_(&quot;R$&quot;* \(#,##0.00\);_(&quot;R$&quot;* &quot;-&quot;??_);_(@_)">
                        <c:v>0.10556383561643835</c:v>
                      </c:pt>
                      <c:pt idx="1" formatCode="_(&quot;R$&quot;* #,##0.00_);_(&quot;R$&quot;* \(#,##0.00\);_(&quot;R$&quot;* &quot;-&quot;??_);_(@_)">
                        <c:v>0.21192739726027399</c:v>
                      </c:pt>
                      <c:pt idx="2" formatCode="_(&quot;R$&quot;* #,##0.00_);_(&quot;R$&quot;* \(#,##0.00\);_(&quot;R$&quot;* &quot;-&quot;??_);_(@_)">
                        <c:v>0.31589178082191782</c:v>
                      </c:pt>
                      <c:pt idx="3" formatCode="_(&quot;R$&quot;* #,##0.00_);_(&quot;R$&quot;* \(#,##0.00\);_(&quot;R$&quot;* &quot;-&quot;??_);_(@_)">
                        <c:v>0.42012273972602743</c:v>
                      </c:pt>
                      <c:pt idx="4" formatCode="_(&quot;R$&quot;* #,##0.00_);_(&quot;R$&quot;* \(#,##0.00\);_(&quot;R$&quot;* &quot;-&quot;??_);_(@_)">
                        <c:v>0.52675287671232884</c:v>
                      </c:pt>
                      <c:pt idx="5" formatCode="_(&quot;R$&quot;* #,##0.00_);_(&quot;R$&quot;* \(#,##0.00\);_(&quot;R$&quot;* &quot;-&quot;??_);_(@_)">
                        <c:v>0.63498246575342476</c:v>
                      </c:pt>
                      <c:pt idx="6" formatCode="_(&quot;R$&quot;* #,##0.00_);_(&quot;R$&quot;* \(#,##0.00\);_(&quot;R$&quot;* &quot;-&quot;??_);_(@_)">
                        <c:v>0.74241232876712338</c:v>
                      </c:pt>
                      <c:pt idx="7" formatCode="_(&quot;R$&quot;* #,##0.00_);_(&quot;R$&quot;* \(#,##0.00\);_(&quot;R$&quot;* &quot;-&quot;??_);_(@_)">
                        <c:v>0.84824273972602748</c:v>
                      </c:pt>
                      <c:pt idx="8" formatCode="_(&quot;R$&quot;* #,##0.00_);_(&quot;R$&quot;* \(#,##0.00\);_(&quot;R$&quot;* &quot;-&quot;??_);_(@_)">
                        <c:v>0.95513945205479467</c:v>
                      </c:pt>
                      <c:pt idx="9" formatCode="_(&quot;R$&quot;* #,##0.00_);_(&quot;R$&quot;* \(#,##0.00\);_(&quot;R$&quot;* &quot;-&quot;??_);_(@_)">
                        <c:v>1.0601701369863015</c:v>
                      </c:pt>
                      <c:pt idx="10" formatCode="_(&quot;R$&quot;* #,##0.00_);_(&quot;R$&quot;* \(#,##0.00\);_(&quot;R$&quot;* &quot;-&quot;??_);_(@_)">
                        <c:v>1.1646676712328767</c:v>
                      </c:pt>
                      <c:pt idx="11" formatCode="_(&quot;R$&quot;* #,##0.00_);_(&quot;R$&quot;* \(#,##0.00\);_(&quot;R$&quot;* &quot;-&quot;??_);_(@_)">
                        <c:v>1.2683654794520549</c:v>
                      </c:pt>
                      <c:pt idx="12" formatCode="_(&quot;R$&quot;* #,##0.00_);_(&quot;R$&quot;* \(#,##0.00\);_(&quot;R$&quot;* &quot;-&quot;??_);_(@_)">
                        <c:v>1.3672649315068495</c:v>
                      </c:pt>
                      <c:pt idx="13" formatCode="_(&quot;R$&quot;* #,##0.00_);_(&quot;R$&quot;* \(#,##0.00\);_(&quot;R$&quot;* &quot;-&quot;??_);_(@_)">
                        <c:v>1.466164383561644</c:v>
                      </c:pt>
                      <c:pt idx="14" formatCode="_(&quot;R$&quot;* #,##0.00_);_(&quot;R$&quot;* \(#,##0.00\);_(&quot;R$&quot;* &quot;-&quot;??_);_(@_)">
                        <c:v>1.5647972602739728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1385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13853936"/>
        <c:crosses val="autoZero"/>
        <c:auto val="1"/>
        <c:lblAlgn val="ctr"/>
        <c:lblOffset val="100"/>
        <c:noMultiLvlLbl val="0"/>
      </c:catAx>
      <c:valAx>
        <c:axId val="-6138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1385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GRAFICO!$A$5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:f>
              <c:multiLvlStrCache>
                <c:ptCount val="15"/>
                <c:lvl>
                  <c:pt idx="0">
                    <c:v>13/mai</c:v>
                  </c:pt>
                  <c:pt idx="1">
                    <c:v>14/mai</c:v>
                  </c:pt>
                  <c:pt idx="2">
                    <c:v>15/mai</c:v>
                  </c:pt>
                  <c:pt idx="3">
                    <c:v>16/mai</c:v>
                  </c:pt>
                  <c:pt idx="4">
                    <c:v>17/mai</c:v>
                  </c:pt>
                  <c:pt idx="5">
                    <c:v>20/mai</c:v>
                  </c:pt>
                  <c:pt idx="6">
                    <c:v>21/mai</c:v>
                  </c:pt>
                  <c:pt idx="7">
                    <c:v>22/mai</c:v>
                  </c:pt>
                  <c:pt idx="8">
                    <c:v>23/mai</c:v>
                  </c:pt>
                  <c:pt idx="9">
                    <c:v>24/mai</c:v>
                  </c:pt>
                  <c:pt idx="10">
                    <c:v>27/mai</c:v>
                  </c:pt>
                  <c:pt idx="11">
                    <c:v>28/mai</c:v>
                  </c:pt>
                  <c:pt idx="12">
                    <c:v>29/mai</c:v>
                  </c:pt>
                  <c:pt idx="13">
                    <c:v>30/mai</c:v>
                  </c:pt>
                  <c:pt idx="14">
                    <c:v>31/mai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GRAFICO!$B$5:$AG$5</c15:sqref>
                  </c15:fullRef>
                </c:ext>
              </c:extLst>
              <c:f>(GRAFICO!$D$5,GRAFICO!$F$5,GRAFICO!$H$5,GRAFICO!$J$5,GRAFICO!$L$5,GRAFICO!$N$5,GRAFICO!$P$5,GRAFICO!$R$5,GRAFICO!$T$5,GRAFICO!$V$5,GRAFICO!$X$5,GRAFICO!$Z$5,GRAFICO!$AB$5,GRAFICO!$AD$5,GRAFICO!$AF$5)</c:f>
              <c:numCache>
                <c:formatCode>m/d/yyyy</c:formatCode>
                <c:ptCount val="15"/>
                <c:pt idx="0" formatCode="0.00">
                  <c:v>0.37258862690373018</c:v>
                </c:pt>
                <c:pt idx="1" formatCode="0.00">
                  <c:v>0.3730209950667891</c:v>
                </c:pt>
                <c:pt idx="2" formatCode="0.00">
                  <c:v>0.37124090638744661</c:v>
                </c:pt>
                <c:pt idx="3" formatCode="0.00">
                  <c:v>0.37133573635072403</c:v>
                </c:pt>
                <c:pt idx="4" formatCode="0.00">
                  <c:v>0.37285534948646981</c:v>
                </c:pt>
                <c:pt idx="5" formatCode="0.00">
                  <c:v>0.37388587831581249</c:v>
                </c:pt>
                <c:pt idx="6" formatCode="0.00">
                  <c:v>0.37322825912931429</c:v>
                </c:pt>
                <c:pt idx="7" formatCode="0.00">
                  <c:v>0.37201227186717378</c:v>
                </c:pt>
                <c:pt idx="8" formatCode="0.00">
                  <c:v>0.37266418331593987</c:v>
                </c:pt>
                <c:pt idx="9" formatCode="0.00">
                  <c:v>0.37119704622471933</c:v>
                </c:pt>
                <c:pt idx="10" formatCode="0.00">
                  <c:v>0.37080982913114896</c:v>
                </c:pt>
                <c:pt idx="11" formatCode="0.00">
                  <c:v>0.37016719732024972</c:v>
                </c:pt>
                <c:pt idx="12" formatCode="0.00">
                  <c:v>0.3667632905268981</c:v>
                </c:pt>
                <c:pt idx="13" formatCode="0.00">
                  <c:v>0.36668044423618568</c:v>
                </c:pt>
                <c:pt idx="14" formatCode="0.00">
                  <c:v>0.36635770100695153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GRAFICO!$A$6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:f>
              <c:multiLvlStrCache>
                <c:ptCount val="15"/>
                <c:lvl>
                  <c:pt idx="0">
                    <c:v>13/mai</c:v>
                  </c:pt>
                  <c:pt idx="1">
                    <c:v>14/mai</c:v>
                  </c:pt>
                  <c:pt idx="2">
                    <c:v>15/mai</c:v>
                  </c:pt>
                  <c:pt idx="3">
                    <c:v>16/mai</c:v>
                  </c:pt>
                  <c:pt idx="4">
                    <c:v>17/mai</c:v>
                  </c:pt>
                  <c:pt idx="5">
                    <c:v>20/mai</c:v>
                  </c:pt>
                  <c:pt idx="6">
                    <c:v>21/mai</c:v>
                  </c:pt>
                  <c:pt idx="7">
                    <c:v>22/mai</c:v>
                  </c:pt>
                  <c:pt idx="8">
                    <c:v>23/mai</c:v>
                  </c:pt>
                  <c:pt idx="9">
                    <c:v>24/mai</c:v>
                  </c:pt>
                  <c:pt idx="10">
                    <c:v>27/mai</c:v>
                  </c:pt>
                  <c:pt idx="11">
                    <c:v>28/mai</c:v>
                  </c:pt>
                  <c:pt idx="12">
                    <c:v>29/mai</c:v>
                  </c:pt>
                  <c:pt idx="13">
                    <c:v>30/mai</c:v>
                  </c:pt>
                  <c:pt idx="14">
                    <c:v>31/mai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GRAFICO!$B$6:$AG$6</c15:sqref>
                  </c15:fullRef>
                </c:ext>
              </c:extLst>
              <c:f>(GRAFICO!$D$6,GRAFICO!$F$6,GRAFICO!$H$6,GRAFICO!$J$6,GRAFICO!$L$6,GRAFICO!$N$6,GRAFICO!$P$6,GRAFICO!$R$6,GRAFICO!$T$6,GRAFICO!$V$6,GRAFICO!$X$6,GRAFICO!$Z$6,GRAFICO!$AB$6,GRAFICO!$AD$6,GRAFICO!$AF$6)</c:f>
              <c:numCache>
                <c:formatCode>m/d/yyyy</c:formatCode>
                <c:ptCount val="15"/>
                <c:pt idx="0" formatCode="0.00">
                  <c:v>0.36996619733304947</c:v>
                </c:pt>
                <c:pt idx="1" formatCode="0.00">
                  <c:v>0.37039856865506871</c:v>
                </c:pt>
                <c:pt idx="2" formatCode="0.00">
                  <c:v>0.36863042242849026</c:v>
                </c:pt>
                <c:pt idx="3" formatCode="0.00">
                  <c:v>0.36872541514767965</c:v>
                </c:pt>
                <c:pt idx="4" formatCode="0.00">
                  <c:v>0.37023930472635391</c:v>
                </c:pt>
                <c:pt idx="5" formatCode="0.00">
                  <c:v>0.37126493358822027</c:v>
                </c:pt>
                <c:pt idx="6" formatCode="0.00">
                  <c:v>0.37061301602053798</c:v>
                </c:pt>
                <c:pt idx="7" formatCode="0.00">
                  <c:v>0.36940576166684386</c:v>
                </c:pt>
                <c:pt idx="8" formatCode="0.00">
                  <c:v>0.37005625007131093</c:v>
                </c:pt>
                <c:pt idx="9" formatCode="0.00">
                  <c:v>0.36859969996817848</c:v>
                </c:pt>
                <c:pt idx="10" formatCode="0.00">
                  <c:v>0.36821610084504275</c:v>
                </c:pt>
                <c:pt idx="11" formatCode="0.00">
                  <c:v>0.36757900304112123</c:v>
                </c:pt>
                <c:pt idx="12" formatCode="0.00">
                  <c:v>0.36419713807675463</c:v>
                </c:pt>
                <c:pt idx="13" formatCode="0.00">
                  <c:v>0.36411672691619706</c:v>
                </c:pt>
                <c:pt idx="14" formatCode="0.00">
                  <c:v>0.36379679724217351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13858832"/>
        <c:axId val="-716501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GRAFICO!$A$3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13/mai</c:v>
                        </c:pt>
                        <c:pt idx="1">
                          <c:v>14/mai</c:v>
                        </c:pt>
                        <c:pt idx="2">
                          <c:v>15/mai</c:v>
                        </c:pt>
                        <c:pt idx="3">
                          <c:v>16/mai</c:v>
                        </c:pt>
                        <c:pt idx="4">
                          <c:v>17/mai</c:v>
                        </c:pt>
                        <c:pt idx="5">
                          <c:v>20/mai</c:v>
                        </c:pt>
                        <c:pt idx="6">
                          <c:v>21/mai</c:v>
                        </c:pt>
                        <c:pt idx="7">
                          <c:v>22/mai</c:v>
                        </c:pt>
                        <c:pt idx="8">
                          <c:v>23/mai</c:v>
                        </c:pt>
                        <c:pt idx="9">
                          <c:v>24/mai</c:v>
                        </c:pt>
                        <c:pt idx="10">
                          <c:v>27/mai</c:v>
                        </c:pt>
                        <c:pt idx="11">
                          <c:v>28/mai</c:v>
                        </c:pt>
                        <c:pt idx="12">
                          <c:v>29/mai</c:v>
                        </c:pt>
                        <c:pt idx="13">
                          <c:v>30/mai</c:v>
                        </c:pt>
                        <c:pt idx="14">
                          <c:v>31/mai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GRAFICO!$B$3:$AG$3</c15:sqref>
                        </c15:fullRef>
                        <c15:formulaRef>
                          <c15:sqref>(GRAFICO!$D$3,GRAFICO!$F$3,GRAFICO!$H$3,GRAFICO!$J$3,GRAFICO!$L$3,GRAFICO!$N$3,GRAFICO!$P$3,GRAFICO!$R$3,GRAFICO!$T$3,GRAFICO!$V$3,GRAFICO!$X$3,GRAFICO!$Z$3,GRAFICO!$AB$3,GRAFICO!$AD$3,GRAFICO!$AF$3)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General">
                        <c:v>4.08</c:v>
                      </c:pt>
                      <c:pt idx="1" formatCode="General">
                        <c:v>4.1100000000000003</c:v>
                      </c:pt>
                      <c:pt idx="2" formatCode="General">
                        <c:v>4.0199999999999996</c:v>
                      </c:pt>
                      <c:pt idx="3" formatCode="General">
                        <c:v>4.03</c:v>
                      </c:pt>
                      <c:pt idx="4" formatCode="General">
                        <c:v>4.12</c:v>
                      </c:pt>
                      <c:pt idx="5" formatCode="General">
                        <c:v>4.18</c:v>
                      </c:pt>
                      <c:pt idx="6" formatCode="General">
                        <c:v>4.1500000000000004</c:v>
                      </c:pt>
                      <c:pt idx="7" formatCode="General">
                        <c:v>4.09</c:v>
                      </c:pt>
                      <c:pt idx="8" formatCode="General">
                        <c:v>4.13</c:v>
                      </c:pt>
                      <c:pt idx="9" formatCode="General">
                        <c:v>4.0599999999999996</c:v>
                      </c:pt>
                      <c:pt idx="10" formatCode="General">
                        <c:v>4.04</c:v>
                      </c:pt>
                      <c:pt idx="11" formatCode="General">
                        <c:v>4.01</c:v>
                      </c:pt>
                      <c:pt idx="12" formatCode="General">
                        <c:v>3.83</c:v>
                      </c:pt>
                      <c:pt idx="13" formatCode="General">
                        <c:v>3.83</c:v>
                      </c:pt>
                      <c:pt idx="14" formatCode="General">
                        <c:v>3.82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(GRAFICO!$D$1:$D$2,GRAFICO!$F$1:$F$2,GRAFICO!$H$1:$H$2,GRAFICO!$J$1:$J$2,GRAFICO!$L$1:$L$2,GRAFICO!$N$1:$N$2,GRAFICO!$P$1:$P$2,GRAFICO!$R$1:$R$2,GRAFICO!$T$1:$T$2,GRAFICO!$V$1:$V$2,GRAFICO!$X$1:$X$2,GRAFICO!$Z$1:$Z$2,GRAFICO!$AB$1:$AB$2,GRAFICO!$AD$1:$AD$2,GRAFICO!$AF$1:$AF$2)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13/mai</c:v>
                        </c:pt>
                        <c:pt idx="1">
                          <c:v>14/mai</c:v>
                        </c:pt>
                        <c:pt idx="2">
                          <c:v>15/mai</c:v>
                        </c:pt>
                        <c:pt idx="3">
                          <c:v>16/mai</c:v>
                        </c:pt>
                        <c:pt idx="4">
                          <c:v>17/mai</c:v>
                        </c:pt>
                        <c:pt idx="5">
                          <c:v>20/mai</c:v>
                        </c:pt>
                        <c:pt idx="6">
                          <c:v>21/mai</c:v>
                        </c:pt>
                        <c:pt idx="7">
                          <c:v>22/mai</c:v>
                        </c:pt>
                        <c:pt idx="8">
                          <c:v>23/mai</c:v>
                        </c:pt>
                        <c:pt idx="9">
                          <c:v>24/mai</c:v>
                        </c:pt>
                        <c:pt idx="10">
                          <c:v>27/mai</c:v>
                        </c:pt>
                        <c:pt idx="11">
                          <c:v>28/mai</c:v>
                        </c:pt>
                        <c:pt idx="12">
                          <c:v>29/mai</c:v>
                        </c:pt>
                        <c:pt idx="13">
                          <c:v>30/mai</c:v>
                        </c:pt>
                        <c:pt idx="14">
                          <c:v>31/mai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GRAFICO!$B$4:$AG$4</c15:sqref>
                        </c15:fullRef>
                        <c15:formulaRef>
                          <c15:sqref>(GRAFICO!$D$4,GRAFICO!$F$4,GRAFICO!$H$4,GRAFICO!$J$4,GRAFICO!$L$4,GRAFICO!$N$4,GRAFICO!$P$4,GRAFICO!$R$4,GRAFICO!$T$4,GRAFICO!$V$4,GRAFICO!$X$4,GRAFICO!$Z$4,GRAFICO!$AB$4,GRAFICO!$AD$4,GRAFICO!$AF$4)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General">
                        <c:v>3.96</c:v>
                      </c:pt>
                      <c:pt idx="1" formatCode="General">
                        <c:v>3.99</c:v>
                      </c:pt>
                      <c:pt idx="2" formatCode="General">
                        <c:v>3.9</c:v>
                      </c:pt>
                      <c:pt idx="3" formatCode="General">
                        <c:v>3.91</c:v>
                      </c:pt>
                      <c:pt idx="4" formatCode="General">
                        <c:v>4</c:v>
                      </c:pt>
                      <c:pt idx="5" formatCode="General">
                        <c:v>4.0599999999999996</c:v>
                      </c:pt>
                      <c:pt idx="6" formatCode="General">
                        <c:v>4.03</c:v>
                      </c:pt>
                      <c:pt idx="7" formatCode="General">
                        <c:v>3.97</c:v>
                      </c:pt>
                      <c:pt idx="8" formatCode="General">
                        <c:v>4.01</c:v>
                      </c:pt>
                      <c:pt idx="9" formatCode="General">
                        <c:v>3.94</c:v>
                      </c:pt>
                      <c:pt idx="10" formatCode="General">
                        <c:v>3.92</c:v>
                      </c:pt>
                      <c:pt idx="11" formatCode="General">
                        <c:v>3.89</c:v>
                      </c:pt>
                      <c:pt idx="12" formatCode="General">
                        <c:v>3.71</c:v>
                      </c:pt>
                      <c:pt idx="13" formatCode="General">
                        <c:v>3.71</c:v>
                      </c:pt>
                      <c:pt idx="14" formatCode="General">
                        <c:v>3.7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61385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16501360"/>
        <c:crosses val="autoZero"/>
        <c:auto val="1"/>
        <c:lblAlgn val="ctr"/>
        <c:lblOffset val="100"/>
        <c:noMultiLvlLbl val="0"/>
      </c:catAx>
      <c:valAx>
        <c:axId val="-71650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1385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GRAFICO!$A$5</c:f>
              <c:strCache>
                <c:ptCount val="1"/>
                <c:pt idx="0">
                  <c:v>TITULO VENDA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:f>
              <c:multiLvlStrCache>
                <c:ptCount val="15"/>
                <c:lvl>
                  <c:pt idx="0">
                    <c:v>13/mai</c:v>
                  </c:pt>
                  <c:pt idx="1">
                    <c:v>14/mai</c:v>
                  </c:pt>
                  <c:pt idx="2">
                    <c:v>15/mai</c:v>
                  </c:pt>
                  <c:pt idx="3">
                    <c:v>16/mai</c:v>
                  </c:pt>
                  <c:pt idx="4">
                    <c:v>17/mai</c:v>
                  </c:pt>
                  <c:pt idx="5">
                    <c:v>20/mai</c:v>
                  </c:pt>
                  <c:pt idx="6">
                    <c:v>21/mai</c:v>
                  </c:pt>
                  <c:pt idx="7">
                    <c:v>22/mai</c:v>
                  </c:pt>
                  <c:pt idx="8">
                    <c:v>23/mai</c:v>
                  </c:pt>
                  <c:pt idx="9">
                    <c:v>24/mai</c:v>
                  </c:pt>
                  <c:pt idx="10">
                    <c:v>27/mai</c:v>
                  </c:pt>
                  <c:pt idx="11">
                    <c:v>28/mai</c:v>
                  </c:pt>
                  <c:pt idx="12">
                    <c:v>29/mai</c:v>
                  </c:pt>
                  <c:pt idx="13">
                    <c:v>30/mai</c:v>
                  </c:pt>
                  <c:pt idx="14">
                    <c:v>31/mai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GRAFICO!$B$5:$AG$5</c15:sqref>
                  </c15:fullRef>
                </c:ext>
              </c:extLst>
              <c:f>(GRAFICO!$E$5,GRAFICO!$G$5,GRAFICO!$I$5,GRAFICO!$K$5,GRAFICO!$M$5,GRAFICO!$O$5,GRAFICO!$Q$5,GRAFICO!$S$5,GRAFICO!$U$5,GRAFICO!$W$5,GRAFICO!$Y$5,GRAFICO!$AA$5,GRAFICO!$AC$5,GRAFICO!$AE$5,GRAFICO!$AG$5)</c:f>
              <c:numCache>
                <c:formatCode>m/d/yyyy</c:formatCode>
                <c:ptCount val="15"/>
                <c:pt idx="0" formatCode="_(&quot;R$&quot;* #,##0.00_);_(&quot;R$&quot;* \(#,##0.00\);_(&quot;R$&quot;* &quot;-&quot;??_);_(@_)">
                  <c:v>0.1087627397260274</c:v>
                </c:pt>
                <c:pt idx="1" formatCode="_(&quot;R$&quot;* #,##0.00_);_(&quot;R$&quot;* \(#,##0.00\);_(&quot;R$&quot;* &quot;-&quot;??_);_(@_)">
                  <c:v>0.21832520547945206</c:v>
                </c:pt>
                <c:pt idx="2" formatCode="_(&quot;R$&quot;* #,##0.00_);_(&quot;R$&quot;* \(#,##0.00\);_(&quot;R$&quot;* &quot;-&quot;??_);_(@_)">
                  <c:v>0.32548849315068495</c:v>
                </c:pt>
                <c:pt idx="3" formatCode="_(&quot;R$&quot;* #,##0.00_);_(&quot;R$&quot;* \(#,##0.00\);_(&quot;R$&quot;* &quot;-&quot;??_);_(@_)">
                  <c:v>0.43291835616438357</c:v>
                </c:pt>
                <c:pt idx="4" formatCode="_(&quot;R$&quot;* #,##0.00_);_(&quot;R$&quot;* \(#,##0.00\);_(&quot;R$&quot;* &quot;-&quot;??_);_(@_)">
                  <c:v>0.54274739726027399</c:v>
                </c:pt>
                <c:pt idx="5" formatCode="_(&quot;R$&quot;* #,##0.00_);_(&quot;R$&quot;* \(#,##0.00\);_(&quot;R$&quot;* &quot;-&quot;??_);_(@_)">
                  <c:v>0.65417589041095892</c:v>
                </c:pt>
                <c:pt idx="6" formatCode="_(&quot;R$&quot;* #,##0.00_);_(&quot;R$&quot;* \(#,##0.00\);_(&quot;R$&quot;* &quot;-&quot;??_);_(@_)">
                  <c:v>0.76480465753424665</c:v>
                </c:pt>
                <c:pt idx="7" formatCode="_(&quot;R$&quot;* #,##0.00_);_(&quot;R$&quot;* \(#,##0.00\);_(&quot;R$&quot;* &quot;-&quot;??_);_(@_)">
                  <c:v>0.87383397260273976</c:v>
                </c:pt>
                <c:pt idx="8" formatCode="_(&quot;R$&quot;* #,##0.00_);_(&quot;R$&quot;* \(#,##0.00\);_(&quot;R$&quot;* &quot;-&quot;??_);_(@_)">
                  <c:v>0.98392958904109595</c:v>
                </c:pt>
                <c:pt idx="9" formatCode="_(&quot;R$&quot;* #,##0.00_);_(&quot;R$&quot;* \(#,##0.00\);_(&quot;R$&quot;* &quot;-&quot;??_);_(@_)">
                  <c:v>1.0921591780821918</c:v>
                </c:pt>
                <c:pt idx="10" formatCode="_(&quot;R$&quot;* #,##0.00_);_(&quot;R$&quot;* \(#,##0.00\);_(&quot;R$&quot;* &quot;-&quot;??_);_(@_)">
                  <c:v>1.1998556164383563</c:v>
                </c:pt>
                <c:pt idx="11" formatCode="_(&quot;R$&quot;* #,##0.00_);_(&quot;R$&quot;* \(#,##0.00\);_(&quot;R$&quot;* &quot;-&quot;??_);_(@_)">
                  <c:v>1.3067523287671234</c:v>
                </c:pt>
                <c:pt idx="12" formatCode="_(&quot;R$&quot;* #,##0.00_);_(&quot;R$&quot;* \(#,##0.00\);_(&quot;R$&quot;* &quot;-&quot;??_);_(@_)">
                  <c:v>1.408850684931507</c:v>
                </c:pt>
                <c:pt idx="13" formatCode="_(&quot;R$&quot;* #,##0.00_);_(&quot;R$&quot;* \(#,##0.00\);_(&quot;R$&quot;* &quot;-&quot;??_);_(@_)">
                  <c:v>1.5109490410958906</c:v>
                </c:pt>
                <c:pt idx="14" formatCode="_(&quot;R$&quot;* #,##0.00_);_(&quot;R$&quot;* \(#,##0.00\);_(&quot;R$&quot;* &quot;-&quot;??_);_(@_)">
                  <c:v>1.6127808219178084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GRAFICO!$A$6</c:f>
              <c:strCache>
                <c:ptCount val="1"/>
                <c:pt idx="0">
                  <c:v>TITULO COMPRA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GRAFICO!$B$1:$AG$2</c15:sqref>
                  </c15:fullRef>
                </c:ext>
              </c:extLst>
              <c: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:f>
              <c:multiLvlStrCache>
                <c:ptCount val="15"/>
                <c:lvl>
                  <c:pt idx="0">
                    <c:v>13/mai</c:v>
                  </c:pt>
                  <c:pt idx="1">
                    <c:v>14/mai</c:v>
                  </c:pt>
                  <c:pt idx="2">
                    <c:v>15/mai</c:v>
                  </c:pt>
                  <c:pt idx="3">
                    <c:v>16/mai</c:v>
                  </c:pt>
                  <c:pt idx="4">
                    <c:v>17/mai</c:v>
                  </c:pt>
                  <c:pt idx="5">
                    <c:v>20/mai</c:v>
                  </c:pt>
                  <c:pt idx="6">
                    <c:v>21/mai</c:v>
                  </c:pt>
                  <c:pt idx="7">
                    <c:v>22/mai</c:v>
                  </c:pt>
                  <c:pt idx="8">
                    <c:v>23/mai</c:v>
                  </c:pt>
                  <c:pt idx="9">
                    <c:v>24/mai</c:v>
                  </c:pt>
                  <c:pt idx="10">
                    <c:v>27/mai</c:v>
                  </c:pt>
                  <c:pt idx="11">
                    <c:v>28/mai</c:v>
                  </c:pt>
                  <c:pt idx="12">
                    <c:v>29/mai</c:v>
                  </c:pt>
                  <c:pt idx="13">
                    <c:v>30/mai</c:v>
                  </c:pt>
                  <c:pt idx="14">
                    <c:v>31/mai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GRAFICO!$B$6:$AG$6</c15:sqref>
                  </c15:fullRef>
                </c:ext>
              </c:extLst>
              <c:f>(GRAFICO!$E$6,GRAFICO!$G$6,GRAFICO!$I$6,GRAFICO!$K$6,GRAFICO!$M$6,GRAFICO!$O$6,GRAFICO!$Q$6,GRAFICO!$S$6,GRAFICO!$U$6,GRAFICO!$W$6,GRAFICO!$Y$6,GRAFICO!$AA$6,GRAFICO!$AC$6,GRAFICO!$AE$6,GRAFICO!$AG$6)</c:f>
              <c:numCache>
                <c:formatCode>m/d/yyyy</c:formatCode>
                <c:ptCount val="15"/>
                <c:pt idx="0" formatCode="_(&quot;R$&quot;* #,##0.00_);_(&quot;R$&quot;* \(#,##0.00\);_(&quot;R$&quot;* &quot;-&quot;??_);_(@_)">
                  <c:v>0.10556383561643835</c:v>
                </c:pt>
                <c:pt idx="1" formatCode="_(&quot;R$&quot;* #,##0.00_);_(&quot;R$&quot;* \(#,##0.00\);_(&quot;R$&quot;* &quot;-&quot;??_);_(@_)">
                  <c:v>0.21192739726027399</c:v>
                </c:pt>
                <c:pt idx="2" formatCode="_(&quot;R$&quot;* #,##0.00_);_(&quot;R$&quot;* \(#,##0.00\);_(&quot;R$&quot;* &quot;-&quot;??_);_(@_)">
                  <c:v>0.31589178082191782</c:v>
                </c:pt>
                <c:pt idx="3" formatCode="_(&quot;R$&quot;* #,##0.00_);_(&quot;R$&quot;* \(#,##0.00\);_(&quot;R$&quot;* &quot;-&quot;??_);_(@_)">
                  <c:v>0.42012273972602743</c:v>
                </c:pt>
                <c:pt idx="4" formatCode="_(&quot;R$&quot;* #,##0.00_);_(&quot;R$&quot;* \(#,##0.00\);_(&quot;R$&quot;* &quot;-&quot;??_);_(@_)">
                  <c:v>0.52675287671232884</c:v>
                </c:pt>
                <c:pt idx="5" formatCode="_(&quot;R$&quot;* #,##0.00_);_(&quot;R$&quot;* \(#,##0.00\);_(&quot;R$&quot;* &quot;-&quot;??_);_(@_)">
                  <c:v>0.63498246575342476</c:v>
                </c:pt>
                <c:pt idx="6" formatCode="_(&quot;R$&quot;* #,##0.00_);_(&quot;R$&quot;* \(#,##0.00\);_(&quot;R$&quot;* &quot;-&quot;??_);_(@_)">
                  <c:v>0.74241232876712338</c:v>
                </c:pt>
                <c:pt idx="7" formatCode="_(&quot;R$&quot;* #,##0.00_);_(&quot;R$&quot;* \(#,##0.00\);_(&quot;R$&quot;* &quot;-&quot;??_);_(@_)">
                  <c:v>0.84824273972602748</c:v>
                </c:pt>
                <c:pt idx="8" formatCode="_(&quot;R$&quot;* #,##0.00_);_(&quot;R$&quot;* \(#,##0.00\);_(&quot;R$&quot;* &quot;-&quot;??_);_(@_)">
                  <c:v>0.95513945205479467</c:v>
                </c:pt>
                <c:pt idx="9" formatCode="_(&quot;R$&quot;* #,##0.00_);_(&quot;R$&quot;* \(#,##0.00\);_(&quot;R$&quot;* &quot;-&quot;??_);_(@_)">
                  <c:v>1.0601701369863015</c:v>
                </c:pt>
                <c:pt idx="10" formatCode="_(&quot;R$&quot;* #,##0.00_);_(&quot;R$&quot;* \(#,##0.00\);_(&quot;R$&quot;* &quot;-&quot;??_);_(@_)">
                  <c:v>1.1646676712328767</c:v>
                </c:pt>
                <c:pt idx="11" formatCode="_(&quot;R$&quot;* #,##0.00_);_(&quot;R$&quot;* \(#,##0.00\);_(&quot;R$&quot;* &quot;-&quot;??_);_(@_)">
                  <c:v>1.2683654794520549</c:v>
                </c:pt>
                <c:pt idx="12" formatCode="_(&quot;R$&quot;* #,##0.00_);_(&quot;R$&quot;* \(#,##0.00\);_(&quot;R$&quot;* &quot;-&quot;??_);_(@_)">
                  <c:v>1.3672649315068495</c:v>
                </c:pt>
                <c:pt idx="13" formatCode="_(&quot;R$&quot;* #,##0.00_);_(&quot;R$&quot;* \(#,##0.00\);_(&quot;R$&quot;* &quot;-&quot;??_);_(@_)">
                  <c:v>1.466164383561644</c:v>
                </c:pt>
                <c:pt idx="14" formatCode="_(&quot;R$&quot;* #,##0.00_);_(&quot;R$&quot;* \(#,##0.00\);_(&quot;R$&quot;* &quot;-&quot;??_);_(@_)">
                  <c:v>1.5647972602739728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16498640"/>
        <c:axId val="-716500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GRAFICO!$A$3</c15:sqref>
                        </c15:formulaRef>
                      </c:ext>
                    </c:extLst>
                    <c:strCache>
                      <c:ptCount val="1"/>
                      <c:pt idx="0">
                        <c:v>VENDA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13/mai</c:v>
                        </c:pt>
                        <c:pt idx="1">
                          <c:v>14/mai</c:v>
                        </c:pt>
                        <c:pt idx="2">
                          <c:v>15/mai</c:v>
                        </c:pt>
                        <c:pt idx="3">
                          <c:v>16/mai</c:v>
                        </c:pt>
                        <c:pt idx="4">
                          <c:v>17/mai</c:v>
                        </c:pt>
                        <c:pt idx="5">
                          <c:v>20/mai</c:v>
                        </c:pt>
                        <c:pt idx="6">
                          <c:v>21/mai</c:v>
                        </c:pt>
                        <c:pt idx="7">
                          <c:v>22/mai</c:v>
                        </c:pt>
                        <c:pt idx="8">
                          <c:v>23/mai</c:v>
                        </c:pt>
                        <c:pt idx="9">
                          <c:v>24/mai</c:v>
                        </c:pt>
                        <c:pt idx="10">
                          <c:v>27/mai</c:v>
                        </c:pt>
                        <c:pt idx="11">
                          <c:v>28/mai</c:v>
                        </c:pt>
                        <c:pt idx="12">
                          <c:v>29/mai</c:v>
                        </c:pt>
                        <c:pt idx="13">
                          <c:v>30/mai</c:v>
                        </c:pt>
                        <c:pt idx="14">
                          <c:v>31/mai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GRAFICO!$B$3:$AG$3</c15:sqref>
                        </c15:fullRef>
                        <c15:formulaRef>
                          <c15:sqref>(GRAFICO!$E$3,GRAFICO!$G$3,GRAFICO!$I$3,GRAFICO!$K$3,GRAFICO!$M$3,GRAFICO!$O$3,GRAFICO!$Q$3,GRAFICO!$S$3,GRAFICO!$U$3,GRAFICO!$W$3,GRAFICO!$Y$3,GRAFICO!$AA$3,GRAFICO!$AC$3,GRAFICO!$AE$3,GRAFICO!$AG$3)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&quot;R$&quot;#,##0.00_);[Red]\(&quot;R$&quot;#,##0.00\)">
                        <c:v>2614.1</c:v>
                      </c:pt>
                      <c:pt idx="1" formatCode="&quot;R$&quot;#,##0.00_);[Red]\(&quot;R$&quot;#,##0.00\)">
                        <c:v>2611.0700000000002</c:v>
                      </c:pt>
                      <c:pt idx="2" formatCode="&quot;R$&quot;#,##0.00_);[Red]\(&quot;R$&quot;#,##0.00\)">
                        <c:v>2623.59</c:v>
                      </c:pt>
                      <c:pt idx="3" formatCode="&quot;R$&quot;#,##0.00_);[Red]\(&quot;R$&quot;#,##0.00\)">
                        <c:v>2622.92</c:v>
                      </c:pt>
                      <c:pt idx="4" formatCode="&quot;R$&quot;#,##0.00_);[Red]\(&quot;R$&quot;#,##0.00\)">
                        <c:v>2612.23</c:v>
                      </c:pt>
                      <c:pt idx="5" formatCode="&quot;R$&quot;#,##0.00_);[Red]\(&quot;R$&quot;#,##0.00\)">
                        <c:v>2605.0300000000002</c:v>
                      </c:pt>
                      <c:pt idx="6" formatCode="&quot;R$&quot;#,##0.00_);[Red]\(&quot;R$&quot;#,##0.00\)">
                        <c:v>2609.62</c:v>
                      </c:pt>
                      <c:pt idx="7" formatCode="&quot;R$&quot;#,##0.00_);[Red]\(&quot;R$&quot;#,##0.00\)">
                        <c:v>2618.15</c:v>
                      </c:pt>
                      <c:pt idx="8" formatCode="&quot;R$&quot;#,##0.00_);[Red]\(&quot;R$&quot;#,##0.00\)">
                        <c:v>2613.5700000000002</c:v>
                      </c:pt>
                      <c:pt idx="9" formatCode="&quot;R$&quot;#,##0.00_);[Red]\(&quot;R$&quot;#,##0.00\)">
                        <c:v>2623.9</c:v>
                      </c:pt>
                      <c:pt idx="10" formatCode="&quot;R$&quot;#,##0.00_);[Red]\(&quot;R$&quot;#,##0.00\)">
                        <c:v>2626.64</c:v>
                      </c:pt>
                      <c:pt idx="11" formatCode="&quot;R$&quot;#,##0.00_);[Red]\(&quot;R$&quot;#,##0.00\)">
                        <c:v>2631.2</c:v>
                      </c:pt>
                      <c:pt idx="12" formatCode="&quot;R$&quot;#,##0.00_);[Red]\(&quot;R$&quot;#,##0.00\)">
                        <c:v>2655.62</c:v>
                      </c:pt>
                      <c:pt idx="13" formatCode="&quot;R$&quot;#,##0.00_);[Red]\(&quot;R$&quot;#,##0.00\)">
                        <c:v>2656.22</c:v>
                      </c:pt>
                      <c:pt idx="14" formatCode="&quot;R$&quot;#,##0.00_);[Red]\(&quot;R$&quot;#,##0.00\)">
                        <c:v>2658.56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GRAFICO!$A$4</c15:sqref>
                        </c15:formulaRef>
                      </c:ext>
                    </c:extLst>
                    <c:strCache>
                      <c:ptCount val="1"/>
                      <c:pt idx="0">
                        <c:v>COMPRA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GRAFICO!$B$1:$AG$2</c15:sqref>
                        </c15:fullRef>
                        <c15:formulaRef>
                          <c15:sqref>(GRAFICO!$E$1:$E$2,GRAFICO!$G$1:$G$2,GRAFICO!$I$1:$I$2,GRAFICO!$K$1:$K$2,GRAFICO!$M$1:$M$2,GRAFICO!$O$1:$O$2,GRAFICO!$Q$1:$Q$2,GRAFICO!$S$1:$S$2,GRAFICO!$U$1:$U$2,GRAFICO!$W$1:$W$2,GRAFICO!$Y$1:$Y$2,GRAFICO!$AA$1:$AA$2,GRAFICO!$AC$1:$AC$2,GRAFICO!$AE$1:$AE$2,GRAFICO!$AG$1:$AG$2)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13/mai</c:v>
                        </c:pt>
                        <c:pt idx="1">
                          <c:v>14/mai</c:v>
                        </c:pt>
                        <c:pt idx="2">
                          <c:v>15/mai</c:v>
                        </c:pt>
                        <c:pt idx="3">
                          <c:v>16/mai</c:v>
                        </c:pt>
                        <c:pt idx="4">
                          <c:v>17/mai</c:v>
                        </c:pt>
                        <c:pt idx="5">
                          <c:v>20/mai</c:v>
                        </c:pt>
                        <c:pt idx="6">
                          <c:v>21/mai</c:v>
                        </c:pt>
                        <c:pt idx="7">
                          <c:v>22/mai</c:v>
                        </c:pt>
                        <c:pt idx="8">
                          <c:v>23/mai</c:v>
                        </c:pt>
                        <c:pt idx="9">
                          <c:v>24/mai</c:v>
                        </c:pt>
                        <c:pt idx="10">
                          <c:v>27/mai</c:v>
                        </c:pt>
                        <c:pt idx="11">
                          <c:v>28/mai</c:v>
                        </c:pt>
                        <c:pt idx="12">
                          <c:v>29/mai</c:v>
                        </c:pt>
                        <c:pt idx="13">
                          <c:v>30/mai</c:v>
                        </c:pt>
                        <c:pt idx="14">
                          <c:v>31/mai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GRAFICO!$B$4:$AG$4</c15:sqref>
                        </c15:fullRef>
                        <c15:formulaRef>
                          <c15:sqref>(GRAFICO!$E$4,GRAFICO!$G$4,GRAFICO!$I$4,GRAFICO!$K$4,GRAFICO!$M$4,GRAFICO!$O$4,GRAFICO!$Q$4,GRAFICO!$S$4,GRAFICO!$U$4,GRAFICO!$W$4,GRAFICO!$Y$4,GRAFICO!$AA$4,GRAFICO!$AC$4,GRAFICO!$AE$4,GRAFICO!$AG$4)</c15:sqref>
                        </c15:formulaRef>
                      </c:ext>
                    </c:extLst>
                    <c:numCache>
                      <c:formatCode>m/d/yyyy</c:formatCode>
                      <c:ptCount val="15"/>
                      <c:pt idx="0" formatCode="&quot;R$&quot;#,##0.00_);[Red]\(&quot;R$&quot;#,##0.00\)">
                        <c:v>2629.97</c:v>
                      </c:pt>
                      <c:pt idx="1" formatCode="&quot;R$&quot;#,##0.00_);[Red]\(&quot;R$&quot;#,##0.00\)">
                        <c:v>2626.9</c:v>
                      </c:pt>
                      <c:pt idx="2" formatCode="&quot;R$&quot;#,##0.00_);[Red]\(&quot;R$&quot;#,##0.00\)">
                        <c:v>2639.5</c:v>
                      </c:pt>
                      <c:pt idx="3" formatCode="&quot;R$&quot;#,##0.00_);[Red]\(&quot;R$&quot;#,##0.00\)">
                        <c:v>2638.82</c:v>
                      </c:pt>
                      <c:pt idx="4" formatCode="&quot;R$&quot;#,##0.00_);[Red]\(&quot;R$&quot;#,##0.00\)">
                        <c:v>2628.03</c:v>
                      </c:pt>
                      <c:pt idx="5" formatCode="&quot;R$&quot;#,##0.00_);[Red]\(&quot;R$&quot;#,##0.00\)">
                        <c:v>2620.77</c:v>
                      </c:pt>
                      <c:pt idx="6" formatCode="&quot;R$&quot;#,##0.00_);[Red]\(&quot;R$&quot;#,##0.00\)">
                        <c:v>2625.38</c:v>
                      </c:pt>
                      <c:pt idx="7" formatCode="&quot;R$&quot;#,##0.00_);[Red]\(&quot;R$&quot;#,##0.00\)">
                        <c:v>2633.96</c:v>
                      </c:pt>
                      <c:pt idx="8" formatCode="&quot;R$&quot;#,##0.00_);[Red]\(&quot;R$&quot;#,##0.00\)">
                        <c:v>2629.33</c:v>
                      </c:pt>
                      <c:pt idx="9" formatCode="&quot;R$&quot;#,##0.00_);[Red]\(&quot;R$&quot;#,##0.00\)">
                        <c:v>2639.72</c:v>
                      </c:pt>
                      <c:pt idx="10" formatCode="&quot;R$&quot;#,##0.00_);[Red]\(&quot;R$&quot;#,##0.00\)">
                        <c:v>2642.47</c:v>
                      </c:pt>
                      <c:pt idx="11" formatCode="&quot;R$&quot;#,##0.00_);[Red]\(&quot;R$&quot;#,##0.00\)">
                        <c:v>2647.05</c:v>
                      </c:pt>
                      <c:pt idx="12" formatCode="&quot;R$&quot;#,##0.00_);[Red]\(&quot;R$&quot;#,##0.00\)">
                        <c:v>2671.63</c:v>
                      </c:pt>
                      <c:pt idx="13" formatCode="&quot;R$&quot;#,##0.00_);[Red]\(&quot;R$&quot;#,##0.00\)">
                        <c:v>2672.22</c:v>
                      </c:pt>
                      <c:pt idx="14" formatCode="&quot;R$&quot;#,##0.00_);[Red]\(&quot;R$&quot;#,##0.00\)">
                        <c:v>2674.57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-71649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16500816"/>
        <c:crosses val="autoZero"/>
        <c:auto val="1"/>
        <c:lblAlgn val="ctr"/>
        <c:lblOffset val="100"/>
        <c:noMultiLvlLbl val="0"/>
      </c:catAx>
      <c:valAx>
        <c:axId val="-7165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1649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4762</xdr:rowOff>
    </xdr:from>
    <xdr:to>
      <xdr:col>9</xdr:col>
      <xdr:colOff>1904999</xdr:colOff>
      <xdr:row>21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4762</xdr:rowOff>
    </xdr:from>
    <xdr:to>
      <xdr:col>10</xdr:col>
      <xdr:colOff>0</xdr:colOff>
      <xdr:row>37</xdr:row>
      <xdr:rowOff>80962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7</xdr:row>
      <xdr:rowOff>4762</xdr:rowOff>
    </xdr:from>
    <xdr:to>
      <xdr:col>19</xdr:col>
      <xdr:colOff>1914525</xdr:colOff>
      <xdr:row>21</xdr:row>
      <xdr:rowOff>80962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22</xdr:row>
      <xdr:rowOff>176212</xdr:rowOff>
    </xdr:from>
    <xdr:to>
      <xdr:col>19</xdr:col>
      <xdr:colOff>1914525</xdr:colOff>
      <xdr:row>37</xdr:row>
      <xdr:rowOff>61912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Comp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SOURO%20DIRETO_0519%20-%20Ven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310519"/>
      <sheetName val="COMPARAÇÃO DIA A DIA"/>
      <sheetName val="TESOURO IPCA"/>
      <sheetName val="TESOURO IPCA JUROS SEMESTRAIS"/>
      <sheetName val="TESOURO PREFIXADOS"/>
      <sheetName val="TESOURO SELIC"/>
    </sheetNames>
    <sheetDataSet>
      <sheetData sheetId="0">
        <row r="4">
          <cell r="A4" t="str">
            <v>Tesouro IPCA+ 2035</v>
          </cell>
          <cell r="C4">
            <v>4.4400000000000004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0519"/>
      <sheetName val="030519"/>
      <sheetName val="060519"/>
      <sheetName val="070519"/>
      <sheetName val="080519"/>
      <sheetName val="090519"/>
      <sheetName val="100519"/>
      <sheetName val="130519"/>
      <sheetName val="140519"/>
      <sheetName val="150519"/>
      <sheetName val="160519"/>
      <sheetName val="170519"/>
      <sheetName val="200519"/>
      <sheetName val="210519"/>
      <sheetName val="220519"/>
      <sheetName val="230519"/>
      <sheetName val="240519"/>
      <sheetName val="270519"/>
      <sheetName val="280519"/>
      <sheetName val="290519"/>
      <sheetName val="300519"/>
      <sheetName val="310519"/>
      <sheetName val="COMPARAÇÃO DIA A DIA"/>
      <sheetName val="TESOURO IPCA"/>
      <sheetName val="TESOURO IPCA JUROS SEMESTRAIS"/>
      <sheetName val="TESOURO PREFIXADOS"/>
      <sheetName val="TESOURO PREFIXADOS JUROS SEM."/>
      <sheetName val="TESOURO SELIC"/>
      <sheetName val="TESOURO IGP-M"/>
    </sheetNames>
    <sheetDataSet>
      <sheetData sheetId="0">
        <row r="5">
          <cell r="C5">
            <v>4.5599999999999996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">
          <cell r="R5">
            <v>2614.1</v>
          </cell>
        </row>
      </sheetData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8" sqref="H8"/>
    </sheetView>
  </sheetViews>
  <sheetFormatPr defaultRowHeight="15" x14ac:dyDescent="0.25"/>
  <cols>
    <col min="1" max="1" width="18.42578125" bestFit="1" customWidth="1"/>
    <col min="2" max="2" width="14.7109375" bestFit="1" customWidth="1"/>
    <col min="3" max="3" width="19" bestFit="1" customWidth="1"/>
    <col min="4" max="4" width="12.5703125" bestFit="1" customWidth="1"/>
    <col min="5" max="5" width="24.85546875" bestFit="1" customWidth="1"/>
    <col min="6" max="6" width="26.42578125" bestFit="1" customWidth="1"/>
    <col min="7" max="7" width="23.140625" bestFit="1" customWidth="1"/>
    <col min="8" max="8" width="21.42578125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</row>
    <row r="2" spans="1:8" x14ac:dyDescent="0.25">
      <c r="A2" t="str">
        <f>'[1]020519'!$A$4</f>
        <v>Tesouro IPCA+ 2035</v>
      </c>
      <c r="B2" s="5">
        <v>43587</v>
      </c>
      <c r="C2" s="6">
        <f>GRAFICO!B6</f>
        <v>973</v>
      </c>
      <c r="D2" s="33">
        <f>C2/F2</f>
        <v>0.36996619733304947</v>
      </c>
      <c r="E2" s="7">
        <f>'[1]020519'!$C$4</f>
        <v>4.4400000000000004</v>
      </c>
      <c r="F2" s="6">
        <f>GRAFICO!E4</f>
        <v>2629.97</v>
      </c>
      <c r="G2" s="8">
        <f>'[2]020519'!$C$5</f>
        <v>4.5599999999999996</v>
      </c>
      <c r="H2" s="9">
        <f>'[2]TESOURO IPCA'!$R$5</f>
        <v>2614.1</v>
      </c>
    </row>
    <row r="4" spans="1:8" x14ac:dyDescent="0.25">
      <c r="A4" t="s">
        <v>19</v>
      </c>
      <c r="B4" t="s">
        <v>9</v>
      </c>
      <c r="C4" t="s">
        <v>20</v>
      </c>
      <c r="D4" t="s">
        <v>25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5">
      <c r="A5" t="s">
        <v>18</v>
      </c>
      <c r="B5" s="46">
        <v>45519</v>
      </c>
      <c r="C5">
        <v>1.49</v>
      </c>
      <c r="D5">
        <v>0.5</v>
      </c>
      <c r="E5">
        <v>6.57</v>
      </c>
      <c r="F5">
        <v>17.57</v>
      </c>
      <c r="G5">
        <v>3.89</v>
      </c>
      <c r="H5">
        <v>4.01</v>
      </c>
    </row>
    <row r="7" spans="1:8" x14ac:dyDescent="0.25">
      <c r="C7" s="9">
        <f>((C2*C5)/100)+C2</f>
        <v>987.49770000000001</v>
      </c>
      <c r="D7" s="9">
        <f>((C2*D5)/100)+C2</f>
        <v>977.86500000000001</v>
      </c>
      <c r="E7" s="9">
        <f>((C2*E5)/100)+C2</f>
        <v>1036.9260999999999</v>
      </c>
      <c r="F7" s="9">
        <f>((C2*F5)/100)+C2</f>
        <v>1143.9560999999999</v>
      </c>
      <c r="G7">
        <f>E2-G5</f>
        <v>0.55000000000000027</v>
      </c>
      <c r="H7">
        <f>G2-H5</f>
        <v>0.54999999999999982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tabSelected="1" workbookViewId="0">
      <selection activeCell="AH8" sqref="AH8"/>
    </sheetView>
  </sheetViews>
  <sheetFormatPr defaultRowHeight="15" x14ac:dyDescent="0.25"/>
  <cols>
    <col min="1" max="1" width="15.5703125" bestFit="1" customWidth="1"/>
    <col min="2" max="2" width="18.42578125" bestFit="1" customWidth="1"/>
    <col min="3" max="3" width="11.85546875" bestFit="1" customWidth="1"/>
    <col min="4" max="4" width="28.85546875" bestFit="1" customWidth="1"/>
    <col min="5" max="5" width="14.42578125" bestFit="1" customWidth="1"/>
    <col min="6" max="6" width="28.85546875" bestFit="1" customWidth="1"/>
    <col min="7" max="7" width="14.42578125" bestFit="1" customWidth="1"/>
    <col min="8" max="8" width="28.85546875" bestFit="1" customWidth="1"/>
    <col min="9" max="9" width="14.42578125" bestFit="1" customWidth="1"/>
    <col min="10" max="10" width="28.85546875" bestFit="1" customWidth="1"/>
    <col min="11" max="11" width="14.42578125" bestFit="1" customWidth="1"/>
    <col min="12" max="12" width="28.85546875" bestFit="1" customWidth="1"/>
    <col min="13" max="13" width="14.42578125" bestFit="1" customWidth="1"/>
    <col min="14" max="14" width="28.85546875" bestFit="1" customWidth="1"/>
    <col min="15" max="15" width="14.42578125" bestFit="1" customWidth="1"/>
    <col min="16" max="16" width="28.85546875" bestFit="1" customWidth="1"/>
    <col min="17" max="17" width="14.42578125" bestFit="1" customWidth="1"/>
    <col min="18" max="18" width="28.85546875" bestFit="1" customWidth="1"/>
    <col min="19" max="19" width="14.42578125" bestFit="1" customWidth="1"/>
    <col min="20" max="20" width="28.85546875" bestFit="1" customWidth="1"/>
    <col min="21" max="21" width="14.42578125" bestFit="1" customWidth="1"/>
    <col min="22" max="22" width="28.85546875" bestFit="1" customWidth="1"/>
    <col min="23" max="23" width="14.42578125" bestFit="1" customWidth="1"/>
    <col min="24" max="24" width="28.85546875" bestFit="1" customWidth="1"/>
    <col min="25" max="25" width="14.42578125" bestFit="1" customWidth="1"/>
    <col min="26" max="26" width="28.85546875" bestFit="1" customWidth="1"/>
    <col min="27" max="27" width="14.42578125" bestFit="1" customWidth="1"/>
    <col min="28" max="28" width="28.85546875" bestFit="1" customWidth="1"/>
    <col min="29" max="29" width="14.42578125" bestFit="1" customWidth="1"/>
    <col min="30" max="30" width="28.85546875" bestFit="1" customWidth="1"/>
    <col min="31" max="31" width="14.42578125" bestFit="1" customWidth="1"/>
    <col min="32" max="32" width="28.85546875" bestFit="1" customWidth="1"/>
    <col min="33" max="33" width="14.42578125" bestFit="1" customWidth="1"/>
  </cols>
  <sheetData>
    <row r="1" spans="1:34" s="10" customFormat="1" ht="15.75" customHeight="1" x14ac:dyDescent="0.25">
      <c r="A1" s="34"/>
      <c r="B1" s="11" t="s">
        <v>8</v>
      </c>
      <c r="C1" s="12" t="s">
        <v>9</v>
      </c>
      <c r="D1" s="13" t="s">
        <v>10</v>
      </c>
      <c r="E1" s="13" t="s">
        <v>11</v>
      </c>
      <c r="F1" s="13" t="s">
        <v>10</v>
      </c>
      <c r="G1" s="13" t="s">
        <v>11</v>
      </c>
      <c r="H1" s="13" t="s">
        <v>10</v>
      </c>
      <c r="I1" s="13" t="s">
        <v>11</v>
      </c>
      <c r="J1" s="13" t="s">
        <v>10</v>
      </c>
      <c r="K1" s="13" t="s">
        <v>11</v>
      </c>
      <c r="L1" s="13" t="s">
        <v>10</v>
      </c>
      <c r="M1" s="13" t="s">
        <v>11</v>
      </c>
      <c r="N1" s="13" t="s">
        <v>10</v>
      </c>
      <c r="O1" s="13" t="s">
        <v>11</v>
      </c>
      <c r="P1" s="32" t="s">
        <v>10</v>
      </c>
      <c r="Q1" s="32" t="s">
        <v>11</v>
      </c>
      <c r="R1" s="32" t="s">
        <v>10</v>
      </c>
      <c r="S1" s="35" t="s">
        <v>11</v>
      </c>
      <c r="T1" s="13" t="s">
        <v>10</v>
      </c>
      <c r="U1" s="13" t="s">
        <v>11</v>
      </c>
      <c r="V1" s="32" t="s">
        <v>10</v>
      </c>
      <c r="W1" s="32" t="s">
        <v>11</v>
      </c>
      <c r="X1" s="32" t="s">
        <v>10</v>
      </c>
      <c r="Y1" s="32" t="s">
        <v>11</v>
      </c>
      <c r="Z1" s="32" t="s">
        <v>10</v>
      </c>
      <c r="AA1" s="32" t="s">
        <v>11</v>
      </c>
      <c r="AB1" s="13" t="s">
        <v>10</v>
      </c>
      <c r="AC1" s="13" t="s">
        <v>11</v>
      </c>
      <c r="AD1" s="13" t="s">
        <v>10</v>
      </c>
      <c r="AE1" s="13" t="s">
        <v>11</v>
      </c>
      <c r="AF1" s="13" t="s">
        <v>10</v>
      </c>
      <c r="AG1" s="13" t="s">
        <v>11</v>
      </c>
      <c r="AH1" s="20"/>
    </row>
    <row r="2" spans="1:34" s="10" customFormat="1" ht="15.75" customHeight="1" x14ac:dyDescent="0.25">
      <c r="A2" s="34"/>
      <c r="B2" s="14" t="s">
        <v>12</v>
      </c>
      <c r="C2" s="23"/>
      <c r="D2" s="15">
        <v>43598</v>
      </c>
      <c r="E2" s="16">
        <v>43598</v>
      </c>
      <c r="F2" s="15">
        <v>43599</v>
      </c>
      <c r="G2" s="16">
        <v>43599</v>
      </c>
      <c r="H2" s="15">
        <v>43600</v>
      </c>
      <c r="I2" s="16">
        <v>43600</v>
      </c>
      <c r="J2" s="15">
        <v>43601</v>
      </c>
      <c r="K2" s="16">
        <v>43601</v>
      </c>
      <c r="L2" s="15">
        <v>43602</v>
      </c>
      <c r="M2" s="16">
        <v>43602</v>
      </c>
      <c r="N2" s="17">
        <v>43605</v>
      </c>
      <c r="O2" s="17">
        <v>43605</v>
      </c>
      <c r="P2" s="15">
        <v>43606</v>
      </c>
      <c r="Q2" s="17">
        <v>43606</v>
      </c>
      <c r="R2" s="15">
        <v>43607</v>
      </c>
      <c r="S2" s="17">
        <v>43607</v>
      </c>
      <c r="T2" s="15">
        <v>43608</v>
      </c>
      <c r="U2" s="17">
        <v>43608</v>
      </c>
      <c r="V2" s="15">
        <v>43609</v>
      </c>
      <c r="W2" s="17">
        <v>43609</v>
      </c>
      <c r="X2" s="15">
        <v>43612</v>
      </c>
      <c r="Y2" s="16">
        <v>43612</v>
      </c>
      <c r="Z2" s="15">
        <v>43613</v>
      </c>
      <c r="AA2" s="16">
        <v>43613</v>
      </c>
      <c r="AB2" s="15">
        <v>43614</v>
      </c>
      <c r="AC2" s="16">
        <v>43614</v>
      </c>
      <c r="AD2" s="15">
        <v>43615</v>
      </c>
      <c r="AE2" s="16">
        <v>43615</v>
      </c>
      <c r="AF2" s="15">
        <v>43616</v>
      </c>
      <c r="AG2" s="16">
        <v>43616</v>
      </c>
      <c r="AH2" s="20"/>
    </row>
    <row r="3" spans="1:34" s="19" customFormat="1" ht="16.5" customHeight="1" x14ac:dyDescent="0.25">
      <c r="A3" s="18" t="s">
        <v>13</v>
      </c>
      <c r="B3" s="42" t="s">
        <v>17</v>
      </c>
      <c r="C3" s="43">
        <v>45519</v>
      </c>
      <c r="D3" s="36">
        <v>4.08</v>
      </c>
      <c r="E3" s="37">
        <v>2614.1</v>
      </c>
      <c r="F3" s="36">
        <v>4.1100000000000003</v>
      </c>
      <c r="G3" s="37">
        <v>2611.0700000000002</v>
      </c>
      <c r="H3" s="36">
        <v>4.0199999999999996</v>
      </c>
      <c r="I3" s="37">
        <v>2623.59</v>
      </c>
      <c r="J3" s="36">
        <v>4.03</v>
      </c>
      <c r="K3" s="37">
        <v>2622.92</v>
      </c>
      <c r="L3" s="36">
        <v>4.12</v>
      </c>
      <c r="M3" s="37">
        <v>2612.23</v>
      </c>
      <c r="N3" s="40">
        <v>4.18</v>
      </c>
      <c r="O3" s="41">
        <v>2605.0300000000002</v>
      </c>
      <c r="P3" s="36">
        <v>4.1500000000000004</v>
      </c>
      <c r="Q3" s="41">
        <v>2609.62</v>
      </c>
      <c r="R3" s="36">
        <v>4.09</v>
      </c>
      <c r="S3" s="41">
        <v>2618.15</v>
      </c>
      <c r="T3" s="36">
        <v>4.13</v>
      </c>
      <c r="U3" s="41">
        <v>2613.5700000000002</v>
      </c>
      <c r="V3" s="36">
        <v>4.0599999999999996</v>
      </c>
      <c r="W3" s="41">
        <v>2623.9</v>
      </c>
      <c r="X3" s="36">
        <v>4.04</v>
      </c>
      <c r="Y3" s="41">
        <v>2626.64</v>
      </c>
      <c r="Z3" s="36">
        <v>4.01</v>
      </c>
      <c r="AA3" s="41">
        <v>2631.2</v>
      </c>
      <c r="AB3" s="36">
        <v>3.83</v>
      </c>
      <c r="AC3" s="41">
        <v>2655.62</v>
      </c>
      <c r="AD3" s="36">
        <v>3.83</v>
      </c>
      <c r="AE3" s="41">
        <v>2656.22</v>
      </c>
      <c r="AF3" s="36">
        <v>3.82</v>
      </c>
      <c r="AG3" s="37">
        <v>2658.56</v>
      </c>
      <c r="AH3" s="20"/>
    </row>
    <row r="4" spans="1:34" s="20" customFormat="1" ht="15.75" customHeight="1" x14ac:dyDescent="0.25">
      <c r="A4" s="18" t="s">
        <v>14</v>
      </c>
      <c r="B4" s="44" t="s">
        <v>17</v>
      </c>
      <c r="C4" s="45">
        <v>45519</v>
      </c>
      <c r="D4" s="30">
        <v>3.96</v>
      </c>
      <c r="E4" s="26">
        <v>2629.97</v>
      </c>
      <c r="F4" s="30">
        <v>3.99</v>
      </c>
      <c r="G4" s="26">
        <v>2626.9</v>
      </c>
      <c r="H4" s="30">
        <v>3.9</v>
      </c>
      <c r="I4" s="26">
        <v>2639.5</v>
      </c>
      <c r="J4" s="30">
        <v>3.91</v>
      </c>
      <c r="K4" s="26">
        <v>2638.82</v>
      </c>
      <c r="L4" s="30">
        <v>4</v>
      </c>
      <c r="M4" s="26">
        <v>2628.03</v>
      </c>
      <c r="N4" s="24">
        <v>4.0599999999999996</v>
      </c>
      <c r="O4" s="25">
        <v>2620.77</v>
      </c>
      <c r="P4" s="30">
        <v>4.03</v>
      </c>
      <c r="Q4" s="25">
        <v>2625.38</v>
      </c>
      <c r="R4" s="30">
        <v>3.97</v>
      </c>
      <c r="S4" s="25">
        <v>2633.96</v>
      </c>
      <c r="T4" s="30">
        <v>4.01</v>
      </c>
      <c r="U4" s="25">
        <v>2629.33</v>
      </c>
      <c r="V4" s="30">
        <v>3.94</v>
      </c>
      <c r="W4" s="25">
        <v>2639.72</v>
      </c>
      <c r="X4" s="30">
        <v>3.92</v>
      </c>
      <c r="Y4" s="25">
        <v>2642.47</v>
      </c>
      <c r="Z4" s="30">
        <v>3.89</v>
      </c>
      <c r="AA4" s="25">
        <v>2647.05</v>
      </c>
      <c r="AB4" s="30">
        <v>3.71</v>
      </c>
      <c r="AC4" s="25">
        <v>2671.63</v>
      </c>
      <c r="AD4" s="30">
        <v>3.71</v>
      </c>
      <c r="AE4" s="25">
        <v>2672.22</v>
      </c>
      <c r="AF4" s="30">
        <v>3.7</v>
      </c>
      <c r="AG4" s="26">
        <v>2674.57</v>
      </c>
    </row>
    <row r="5" spans="1:34" s="22" customFormat="1" x14ac:dyDescent="0.25">
      <c r="A5" s="21" t="s">
        <v>15</v>
      </c>
      <c r="B5" s="27">
        <f>B6+U5</f>
        <v>973.98392958904105</v>
      </c>
      <c r="C5" s="28">
        <v>43598</v>
      </c>
      <c r="D5" s="29">
        <f>$B$5/E3</f>
        <v>0.37258862690373018</v>
      </c>
      <c r="E5" s="31">
        <f>((D3/365)*$B$6)/100</f>
        <v>0.1087627397260274</v>
      </c>
      <c r="F5" s="29">
        <f>$B$5/G3</f>
        <v>0.3730209950667891</v>
      </c>
      <c r="G5" s="31">
        <f>(((F3/365)*$B$6)/100)+E5</f>
        <v>0.21832520547945206</v>
      </c>
      <c r="H5" s="29">
        <f t="shared" ref="H5" si="0">$B$5/I3</f>
        <v>0.37124090638744661</v>
      </c>
      <c r="I5" s="31">
        <f t="shared" ref="I5:I6" si="1">(((H3/365)*$B$6)/100)+G5</f>
        <v>0.32548849315068495</v>
      </c>
      <c r="J5" s="29">
        <f t="shared" ref="J5" si="2">$B$5/K3</f>
        <v>0.37133573635072403</v>
      </c>
      <c r="K5" s="31">
        <f t="shared" ref="K5:K6" si="3">(((J3/365)*$B$6)/100)+I5</f>
        <v>0.43291835616438357</v>
      </c>
      <c r="L5" s="29">
        <f t="shared" ref="L5" si="4">$B$5/M3</f>
        <v>0.37285534948646981</v>
      </c>
      <c r="M5" s="31">
        <f t="shared" ref="M5:M6" si="5">(((L3/365)*$B$6)/100)+K5</f>
        <v>0.54274739726027399</v>
      </c>
      <c r="N5" s="29">
        <f t="shared" ref="N5" si="6">$B$5/O3</f>
        <v>0.37388587831581249</v>
      </c>
      <c r="O5" s="31">
        <f t="shared" ref="O5:O6" si="7">(((N3/365)*$B$6)/100)+M5</f>
        <v>0.65417589041095892</v>
      </c>
      <c r="P5" s="29">
        <f t="shared" ref="P5" si="8">$B$5/Q3</f>
        <v>0.37322825912931429</v>
      </c>
      <c r="Q5" s="31">
        <f t="shared" ref="Q5:Q6" si="9">(((P3/365)*$B$6)/100)+O5</f>
        <v>0.76480465753424665</v>
      </c>
      <c r="R5" s="29">
        <f t="shared" ref="R5" si="10">$B$5/S3</f>
        <v>0.37201227186717378</v>
      </c>
      <c r="S5" s="31">
        <f t="shared" ref="S5:S6" si="11">(((R3/365)*$B$6)/100)+Q5</f>
        <v>0.87383397260273976</v>
      </c>
      <c r="T5" s="29">
        <f t="shared" ref="T5" si="12">$B$5/U3</f>
        <v>0.37266418331593987</v>
      </c>
      <c r="U5" s="31">
        <f t="shared" ref="U5:U6" si="13">(((T3/365)*$B$6)/100)+S5</f>
        <v>0.98392958904109595</v>
      </c>
      <c r="V5" s="38">
        <f t="shared" ref="V5" si="14">$B$5/W3</f>
        <v>0.37119704622471933</v>
      </c>
      <c r="W5" s="39">
        <f t="shared" ref="W5:W6" si="15">(((V3/365)*$B$6)/100)+U5</f>
        <v>1.0921591780821918</v>
      </c>
      <c r="X5" s="38">
        <f t="shared" ref="X5" si="16">$B$5/Y3</f>
        <v>0.37080982913114896</v>
      </c>
      <c r="Y5" s="39">
        <f>(((X3/365)*$B$6)/100)+W5</f>
        <v>1.1998556164383563</v>
      </c>
      <c r="Z5" s="38">
        <f t="shared" ref="Z5" si="17">$B$5/AA3</f>
        <v>0.37016719732024972</v>
      </c>
      <c r="AA5" s="39">
        <f>(((Z3/365)*$B$6)/100)+Y5</f>
        <v>1.3067523287671234</v>
      </c>
      <c r="AB5" s="38">
        <f t="shared" ref="AB5" si="18">$B$5/AC3</f>
        <v>0.3667632905268981</v>
      </c>
      <c r="AC5" s="39">
        <f>(((AB3/365)*$B$6)/100)+AA5</f>
        <v>1.408850684931507</v>
      </c>
      <c r="AD5" s="38">
        <f t="shared" ref="AD5" si="19">$B$5/AE3</f>
        <v>0.36668044423618568</v>
      </c>
      <c r="AE5" s="39">
        <f>(((AD3/365)*$B$6)/100)+AC5</f>
        <v>1.5109490410958906</v>
      </c>
      <c r="AF5" s="38">
        <f t="shared" ref="AF5" si="20">$B$5/AG3</f>
        <v>0.36635770100695153</v>
      </c>
      <c r="AG5" s="39">
        <f>(((AF3/365)*$B$6)/100)+AE5</f>
        <v>1.6127808219178084</v>
      </c>
      <c r="AH5" s="47">
        <f>AG5-E5</f>
        <v>1.504018082191781</v>
      </c>
    </row>
    <row r="6" spans="1:34" x14ac:dyDescent="0.25">
      <c r="A6" s="21" t="s">
        <v>16</v>
      </c>
      <c r="B6" s="27">
        <v>973</v>
      </c>
      <c r="C6" s="28">
        <v>43598</v>
      </c>
      <c r="D6" s="29">
        <f>$B$6/E4</f>
        <v>0.36996619733304947</v>
      </c>
      <c r="E6" s="31">
        <f>((D4/365)*$B$6)/100</f>
        <v>0.10556383561643835</v>
      </c>
      <c r="F6" s="29">
        <f>$B$6/G4</f>
        <v>0.37039856865506871</v>
      </c>
      <c r="G6" s="31">
        <f>(((F4/365)*$B$6)/100)+E6</f>
        <v>0.21192739726027399</v>
      </c>
      <c r="H6" s="29">
        <f t="shared" ref="H6" si="21">$B$6/I4</f>
        <v>0.36863042242849026</v>
      </c>
      <c r="I6" s="31">
        <f t="shared" si="1"/>
        <v>0.31589178082191782</v>
      </c>
      <c r="J6" s="29">
        <f t="shared" ref="J6" si="22">$B$6/K4</f>
        <v>0.36872541514767965</v>
      </c>
      <c r="K6" s="31">
        <f t="shared" si="3"/>
        <v>0.42012273972602743</v>
      </c>
      <c r="L6" s="29">
        <f t="shared" ref="L6" si="23">$B$6/M4</f>
        <v>0.37023930472635391</v>
      </c>
      <c r="M6" s="31">
        <f t="shared" si="5"/>
        <v>0.52675287671232884</v>
      </c>
      <c r="N6" s="29">
        <f t="shared" ref="N6" si="24">$B$6/O4</f>
        <v>0.37126493358822027</v>
      </c>
      <c r="O6" s="31">
        <f t="shared" si="7"/>
        <v>0.63498246575342476</v>
      </c>
      <c r="P6" s="29">
        <f t="shared" ref="P6" si="25">$B$6/Q4</f>
        <v>0.37061301602053798</v>
      </c>
      <c r="Q6" s="31">
        <f t="shared" si="9"/>
        <v>0.74241232876712338</v>
      </c>
      <c r="R6" s="29">
        <f t="shared" ref="R6" si="26">$B$6/S4</f>
        <v>0.36940576166684386</v>
      </c>
      <c r="S6" s="31">
        <f t="shared" si="11"/>
        <v>0.84824273972602748</v>
      </c>
      <c r="T6" s="29">
        <f t="shared" ref="T6" si="27">$B$6/U4</f>
        <v>0.37005625007131093</v>
      </c>
      <c r="U6" s="31">
        <f t="shared" si="13"/>
        <v>0.95513945205479467</v>
      </c>
      <c r="V6" s="29">
        <f t="shared" ref="V6" si="28">$B$6/W4</f>
        <v>0.36859969996817848</v>
      </c>
      <c r="W6" s="31">
        <f t="shared" si="15"/>
        <v>1.0601701369863015</v>
      </c>
      <c r="X6" s="29">
        <f t="shared" ref="X6" si="29">$B$6/Y4</f>
        <v>0.36821610084504275</v>
      </c>
      <c r="Y6" s="31">
        <f t="shared" ref="Y6" si="30">(((X4/365)*$B$6)/100)+W6</f>
        <v>1.1646676712328767</v>
      </c>
      <c r="Z6" s="29">
        <f t="shared" ref="Z6" si="31">$B$6/AA4</f>
        <v>0.36757900304112123</v>
      </c>
      <c r="AA6" s="31">
        <f t="shared" ref="AA6" si="32">(((Z4/365)*$B$6)/100)+Y6</f>
        <v>1.2683654794520549</v>
      </c>
      <c r="AB6" s="29">
        <f t="shared" ref="AB6" si="33">$B$6/AC4</f>
        <v>0.36419713807675463</v>
      </c>
      <c r="AC6" s="31">
        <f t="shared" ref="AC6" si="34">(((AB4/365)*$B$6)/100)+AA6</f>
        <v>1.3672649315068495</v>
      </c>
      <c r="AD6" s="29">
        <f t="shared" ref="AD6" si="35">$B$6/AE4</f>
        <v>0.36411672691619706</v>
      </c>
      <c r="AE6" s="31">
        <f t="shared" ref="AE6" si="36">(((AD4/365)*$B$6)/100)+AC6</f>
        <v>1.466164383561644</v>
      </c>
      <c r="AF6" s="29">
        <f t="shared" ref="AF6" si="37">$B$6/AG4</f>
        <v>0.36379679724217351</v>
      </c>
      <c r="AG6" s="31">
        <f t="shared" ref="AG6" si="38">(((AF4/365)*$B$6)/100)+AE6</f>
        <v>1.5647972602739728</v>
      </c>
      <c r="AH6" s="47">
        <f>AG6-E6</f>
        <v>1.4592334246575345</v>
      </c>
    </row>
    <row r="7" spans="1:34" x14ac:dyDescent="0.25">
      <c r="AH7" s="48">
        <f>AH5-AH6</f>
        <v>4.4784657534246541E-2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130519</vt:lpstr>
      <vt:lpstr>GRAFICO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2019-06-01T11:13:26Z</dcterms:modified>
</cp:coreProperties>
</file>