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D5" i="2" l="1"/>
  <c r="AE5" i="2"/>
  <c r="AD6" i="2"/>
  <c r="AE6" i="2"/>
  <c r="AB5" i="2" l="1"/>
  <c r="AC5" i="2"/>
  <c r="AB6" i="2"/>
  <c r="AC6" i="2"/>
  <c r="F7" i="1" l="1"/>
  <c r="E7" i="1"/>
  <c r="C7" i="1"/>
  <c r="D7" i="1"/>
  <c r="Z5" i="2" l="1"/>
  <c r="AA5" i="2"/>
  <c r="Z6" i="2"/>
  <c r="AA6" i="2"/>
  <c r="Y5" i="2" l="1"/>
  <c r="X5" i="2"/>
  <c r="X6" i="2"/>
  <c r="Y6" i="2"/>
  <c r="V5" i="2" l="1"/>
  <c r="W5" i="2"/>
  <c r="V6" i="2"/>
  <c r="W6" i="2"/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H7" i="1" s="1"/>
  <c r="E2" i="1"/>
  <c r="G7" i="1" s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<sst xmlns="http://schemas.openxmlformats.org/spreadsheetml/2006/main" count="54" uniqueCount="26">
  <si>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</si>
  <si>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</si>
  <si>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</si>
  <si>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</si>
  <si>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</si>
  <si>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</si>
  <si>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</si>
  <si>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</si>
  <si>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</si>
  <si>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</si>
  <si>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</si>
  <si>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</si>
  <si>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</si>
  <si>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</si>
  <si>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</si>
  <si>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</si>
  <si>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</si>
  <si>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</si>
  <si>
    <t>Tesouro IPCA+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</si>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</sst>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  <xf numFmtId="14" fontId="0" fillId="0" borderId="0" xfId="0" applyNumberFormat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(GRAFICO!$D$3,GRAFICO!$F$3,GRAFICO!$H$3,GRAFICO!$J$3,GRAFICO!$L$3,GRAFICO!$N$3,GRAFICO!$P$3,GRAFICO!$R$3,GRAFICO!$T$3,GRAFICO!$V$3,GRAFICO!$X$3,GRAFICO!$Z$3)</c:f>
              <c:numCache>
                <c:formatCode>m/d/yyyy</c:formatCode>
                <c:ptCount val="12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  <c:pt idx="10" formatCode="General">
                  <c:v>4.04</c:v>
                </c:pt>
                <c:pt idx="11" formatCode="General">
                  <c:v>4.01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(GRAFICO!$D$4,GRAFICO!$F$4,GRAFICO!$H$4,GRAFICO!$J$4,GRAFICO!$L$4,GRAFICO!$N$4,GRAFICO!$P$4,GRAFICO!$R$4,GRAFICO!$T$4,GRAFICO!$V$4,GRAFICO!$X$4,GRAFICO!$Z$4)</c:f>
              <c:numCache>
                <c:formatCode>m/d/yyyy</c:formatCode>
                <c:ptCount val="12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  <c:pt idx="10" formatCode="General">
                  <c:v>3.92</c:v>
                </c:pt>
                <c:pt idx="11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13376"/>
        <c:axId val="-1428116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  <c:pt idx="10" formatCode="0.00">
                        <c:v>0.37080982913114896</c:v>
                      </c:pt>
                      <c:pt idx="11" formatCode="0.00">
                        <c:v>0.37016719732024972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  <c:pt idx="10" formatCode="0.00">
                        <c:v>0.36821610084504275</c:v>
                      </c:pt>
                      <c:pt idx="11" formatCode="0.00">
                        <c:v>0.36757900304112123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1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6640"/>
        <c:crosses val="autoZero"/>
        <c:auto val="1"/>
        <c:lblAlgn val="ctr"/>
        <c:lblOffset val="100"/>
        <c:noMultiLvlLbl val="0"/>
      </c:catAx>
      <c:valAx>
        <c:axId val="-142811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(GRAFICO!$E$3,GRAFICO!$G$3,GRAFICO!$I$3,GRAFICO!$K$3,GRAFICO!$M$3,GRAFICO!$O$3,GRAFICO!$Q$3,GRAFICO!$S$3,GRAFICO!$U$3,GRAFICO!$W$3,GRAFICO!$Y$3,GRAFICO!$AA$3)</c:f>
              <c:numCache>
                <c:formatCode>m/d/yyyy</c:formatCode>
                <c:ptCount val="12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  <c:pt idx="10" formatCode="&quot;R$&quot;#,##0.00_);[Red]\(&quot;R$&quot;#,##0.00\)">
                  <c:v>2626.64</c:v>
                </c:pt>
                <c:pt idx="11" formatCode="&quot;R$&quot;#,##0.00_);[Red]\(&quot;R$&quot;#,##0.00\)">
                  <c:v>2631.2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(GRAFICO!$E$4,GRAFICO!$G$4,GRAFICO!$I$4,GRAFICO!$K$4,GRAFICO!$M$4,GRAFICO!$O$4,GRAFICO!$Q$4,GRAFICO!$S$4,GRAFICO!$U$4,GRAFICO!$W$4,GRAFICO!$Y$4,GRAFICO!$AA$4)</c:f>
              <c:numCache>
                <c:formatCode>m/d/yyyy</c:formatCode>
                <c:ptCount val="12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  <c:pt idx="10" formatCode="&quot;R$&quot;#,##0.00_);[Red]\(&quot;R$&quot;#,##0.00\)">
                  <c:v>2642.47</c:v>
                </c:pt>
                <c:pt idx="11" formatCode="&quot;R$&quot;#,##0.00_);[Red]\(&quot;R$&quot;#,##0.00\)">
                  <c:v>2647.05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10656"/>
        <c:axId val="-1428116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  <c:pt idx="10" formatCode="_(&quot;R$&quot;* #,##0.00_);_(&quot;R$&quot;* \(#,##0.00\);_(&quot;R$&quot;* &quot;-&quot;??_);_(@_)">
                        <c:v>1.1998556164383563</c:v>
                      </c:pt>
                      <c:pt idx="11" formatCode="_(&quot;R$&quot;* #,##0.00_);_(&quot;R$&quot;* \(#,##0.00\);_(&quot;R$&quot;* &quot;-&quot;??_);_(@_)">
                        <c:v>1.3067523287671234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(GRAFICO!$E$6,GRAFICO!$G$6,GRAFICO!$I$6,GRAFICO!$K$6,GRAFICO!$M$6,GRAFICO!$O$6,GRAFICO!$Q$6,GRAFICO!$S$6,GRAFICO!$U$6,GRAFICO!$W$6,GRAFICO!$Y$6,GRAFICO!$AA$6)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  <c:pt idx="10" formatCode="_(&quot;R$&quot;* #,##0.00_);_(&quot;R$&quot;* \(#,##0.00\);_(&quot;R$&quot;* &quot;-&quot;??_);_(@_)">
                        <c:v>1.1646676712328767</c:v>
                      </c:pt>
                      <c:pt idx="11" formatCode="_(&quot;R$&quot;* #,##0.00_);_(&quot;R$&quot;* \(#,##0.00\);_(&quot;R$&quot;* &quot;-&quot;??_);_(@_)">
                        <c:v>1.2683654794520549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1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6096"/>
        <c:crosses val="autoZero"/>
        <c:auto val="1"/>
        <c:lblAlgn val="ctr"/>
        <c:lblOffset val="100"/>
        <c:noMultiLvlLbl val="0"/>
      </c:catAx>
      <c:valAx>
        <c:axId val="-142811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(GRAFICO!$D$5,GRAFICO!$F$5,GRAFICO!$H$5,GRAFICO!$J$5,GRAFICO!$L$5,GRAFICO!$N$5,GRAFICO!$P$5,GRAFICO!$R$5,GRAFICO!$T$5,GRAFICO!$V$5,GRAFICO!$X$5,GRAFICO!$Z$5)</c:f>
              <c:numCache>
                <c:formatCode>m/d/yyyy</c:formatCode>
                <c:ptCount val="12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  <c:pt idx="10" formatCode="0.00">
                  <c:v>0.37080982913114896</c:v>
                </c:pt>
                <c:pt idx="11" formatCode="0.00">
                  <c:v>0.37016719732024972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(GRAFICO!$D$6,GRAFICO!$F$6,GRAFICO!$H$6,GRAFICO!$J$6,GRAFICO!$L$6,GRAFICO!$N$6,GRAFICO!$P$6,GRAFICO!$R$6,GRAFICO!$T$6,GRAFICO!$V$6,GRAFICO!$X$6,GRAFICO!$Z$6)</c:f>
              <c:numCache>
                <c:formatCode>m/d/yyyy</c:formatCode>
                <c:ptCount val="12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  <c:pt idx="10" formatCode="0.00">
                  <c:v>0.36821610084504275</c:v>
                </c:pt>
                <c:pt idx="11" formatCode="0.00">
                  <c:v>0.36757900304112123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15008"/>
        <c:axId val="-1428109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(GRAFICO!$D$3,GRAFICO!$F$3,GRAFICO!$H$3,GRAFICO!$J$3,GRAFICO!$L$3,GRAFICO!$N$3,GRAFICO!$P$3,GRAFICO!$R$3,GRAFICO!$T$3,GRAFICO!$V$3,GRAFICO!$X$3,GRAFICO!$Z$3)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  <c:pt idx="10" formatCode="General">
                        <c:v>4.04</c:v>
                      </c:pt>
                      <c:pt idx="11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  <c:pt idx="10" formatCode="General">
                        <c:v>3.92</c:v>
                      </c:pt>
                      <c:pt idx="1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1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9568"/>
        <c:crosses val="autoZero"/>
        <c:auto val="1"/>
        <c:lblAlgn val="ctr"/>
        <c:lblOffset val="100"/>
        <c:noMultiLvlLbl val="0"/>
      </c:catAx>
      <c:valAx>
        <c:axId val="-142810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(GRAFICO!$E$5,GRAFICO!$G$5,GRAFICO!$I$5,GRAFICO!$K$5,GRAFICO!$M$5,GRAFICO!$O$5,GRAFICO!$Q$5,GRAFICO!$S$5,GRAFICO!$U$5,GRAFICO!$W$5,GRAFICO!$Y$5,GRAFICO!$AA$5)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  <c:pt idx="10" formatCode="_(&quot;R$&quot;* #,##0.00_);_(&quot;R$&quot;* \(#,##0.00\);_(&quot;R$&quot;* &quot;-&quot;??_);_(@_)">
                  <c:v>1.1998556164383563</c:v>
                </c:pt>
                <c:pt idx="11" formatCode="_(&quot;R$&quot;* #,##0.00_);_(&quot;R$&quot;* \(#,##0.00\);_(&quot;R$&quot;* &quot;-&quot;??_);_(@_)">
                  <c:v>1.3067523287671234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(GRAFICO!$E$6,GRAFICO!$G$6,GRAFICO!$I$6,GRAFICO!$K$6,GRAFICO!$M$6,GRAFICO!$O$6,GRAFICO!$Q$6,GRAFICO!$S$6,GRAFICO!$U$6,GRAFICO!$W$6,GRAFICO!$Y$6,GRAFICO!$AA$6)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  <c:pt idx="10" formatCode="_(&quot;R$&quot;* #,##0.00_);_(&quot;R$&quot;* \(#,##0.00\);_(&quot;R$&quot;* &quot;-&quot;??_);_(@_)">
                  <c:v>1.1646676712328767</c:v>
                </c:pt>
                <c:pt idx="11" formatCode="_(&quot;R$&quot;* #,##0.00_);_(&quot;R$&quot;* \(#,##0.00\);_(&quot;R$&quot;* &quot;-&quot;??_);_(@_)">
                  <c:v>1.2683654794520549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09024"/>
        <c:axId val="-1428118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(GRAFICO!$E$3,GRAFICO!$G$3,GRAFICO!$I$3,GRAFICO!$K$3,GRAFICO!$M$3,GRAFICO!$O$3,GRAFICO!$Q$3,GRAFICO!$S$3,GRAFICO!$U$3,GRAFICO!$W$3,GRAFICO!$Y$3,GRAFICO!$AA$3)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  <c:pt idx="10" formatCode="&quot;R$&quot;#,##0.00_);[Red]\(&quot;R$&quot;#,##0.00\)">
                        <c:v>2626.64</c:v>
                      </c:pt>
                      <c:pt idx="11" formatCode="&quot;R$&quot;#,##0.00_);[Red]\(&quot;R$&quot;#,##0.00\)">
                        <c:v>2631.2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  <c:pt idx="10" formatCode="&quot;R$&quot;#,##0.00_);[Red]\(&quot;R$&quot;#,##0.00\)">
                        <c:v>2642.47</c:v>
                      </c:pt>
                      <c:pt idx="11" formatCode="&quot;R$&quot;#,##0.00_);[Red]\(&quot;R$&quot;#,##0.00\)">
                        <c:v>2647.05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0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8272"/>
        <c:crosses val="autoZero"/>
        <c:auto val="1"/>
        <c:lblAlgn val="ctr"/>
        <c:lblOffset val="100"/>
        <c:noMultiLvlLbl val="0"/>
      </c:catAx>
      <c:valAx>
        <c:axId val="-142811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5">
          <cell r="R5">
            <v>2614.1</v>
          </cell>
        </row>
      </sheetData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H8" sqref="H8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12.570312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  <row r="4" spans="1:8" x14ac:dyDescent="0.25">
      <c r="A4" t="s">
        <v>19</v>
      </c>
      <c r="B4" t="s">
        <v>9</v>
      </c>
      <c r="C4" t="s">
        <v>20</v>
      </c>
      <c r="D4" t="s">
        <v>25</v>
      </c>
      <c r="E4" t="s">
        <v>21</v>
      </c>
      <c r="F4" t="s">
        <v>22</v>
      </c>
      <c r="G4" t="s">
        <v>23</v>
      </c>
      <c r="H4" t="s">
        <v>24</v>
      </c>
    </row>
    <row r="5" spans="1:8" x14ac:dyDescent="0.25">
      <c r="A5" t="s">
        <v>18</v>
      </c>
      <c r="B5" s="46">
        <v>45519</v>
      </c>
      <c r="C5">
        <v>1.49</v>
      </c>
      <c r="D5">
        <v>0.5</v>
      </c>
      <c r="E5">
        <v>6.57</v>
      </c>
      <c r="F5">
        <v>17.57</v>
      </c>
      <c r="G5">
        <v>3.89</v>
      </c>
      <c r="H5">
        <v>4.01</v>
      </c>
    </row>
    <row r="7" spans="1:8" x14ac:dyDescent="0.25">
      <c r="C7" s="9">
        <f>((C2*C5)/100)+C2</f>
        <v>987.49770000000001</v>
      </c>
      <c r="D7" s="9">
        <f>((C2*D5)/100)+C2</f>
        <v>977.86500000000001</v>
      </c>
      <c r="E7" s="9">
        <f>((C2*E5)/100)+C2</f>
        <v>1036.9260999999999</v>
      </c>
      <c r="F7" s="9">
        <f>((C2*F5)/100)+C2</f>
        <v>1143.9560999999999</v>
      </c>
      <c r="G7">
        <f>E2-G5</f>
        <v>0.55000000000000027</v>
      </c>
      <c r="H7">
        <f>G2-H5</f>
        <v>0.54999999999999982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Y1" workbookViewId="0">
      <selection activeCell="AD9" sqref="AD9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</cols>
  <sheetData>
    <row r="1" spans="1:35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32" t="s">
        <v>10</v>
      </c>
      <c r="Y1" s="32" t="s">
        <v>11</v>
      </c>
      <c r="Z1" s="32" t="s">
        <v>10</v>
      </c>
      <c r="AA1" s="32" t="s">
        <v>11</v>
      </c>
      <c r="AB1" s="13" t="s">
        <v>10</v>
      </c>
      <c r="AC1" s="13" t="s">
        <v>11</v>
      </c>
      <c r="AD1" s="13" t="s">
        <v>10</v>
      </c>
      <c r="AE1" s="13" t="s">
        <v>11</v>
      </c>
      <c r="AF1" s="20"/>
      <c r="AG1" s="20"/>
      <c r="AH1" s="20"/>
      <c r="AI1" s="20"/>
    </row>
    <row r="2" spans="1:35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7">
        <v>43609</v>
      </c>
      <c r="X2" s="15">
        <v>43612</v>
      </c>
      <c r="Y2" s="16">
        <v>43612</v>
      </c>
      <c r="Z2" s="15">
        <v>43613</v>
      </c>
      <c r="AA2" s="16">
        <v>43613</v>
      </c>
      <c r="AB2" s="15">
        <v>43614</v>
      </c>
      <c r="AC2" s="16">
        <v>43614</v>
      </c>
      <c r="AD2" s="15">
        <v>43615</v>
      </c>
      <c r="AE2" s="16">
        <v>43615</v>
      </c>
      <c r="AF2" s="20"/>
      <c r="AG2" s="20"/>
      <c r="AH2" s="20"/>
      <c r="AI2" s="20"/>
    </row>
    <row r="3" spans="1:35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41">
        <v>2623.9</v>
      </c>
      <c r="X3" s="36">
        <v>4.04</v>
      </c>
      <c r="Y3" s="41">
        <v>2626.64</v>
      </c>
      <c r="Z3" s="36">
        <v>4.01</v>
      </c>
      <c r="AA3" s="41">
        <v>2631.2</v>
      </c>
      <c r="AB3" s="36">
        <v>3.83</v>
      </c>
      <c r="AC3" s="41">
        <v>2655.62</v>
      </c>
      <c r="AD3" s="36">
        <v>3.83</v>
      </c>
      <c r="AE3" s="37">
        <v>2656.22</v>
      </c>
      <c r="AF3" s="20"/>
      <c r="AG3" s="20"/>
      <c r="AH3" s="20"/>
      <c r="AI3" s="20"/>
    </row>
    <row r="4" spans="1:35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5">
        <v>2639.72</v>
      </c>
      <c r="X4" s="30">
        <v>3.92</v>
      </c>
      <c r="Y4" s="25">
        <v>2642.47</v>
      </c>
      <c r="Z4" s="30">
        <v>3.89</v>
      </c>
      <c r="AA4" s="25">
        <v>2647.05</v>
      </c>
      <c r="AB4" s="30">
        <v>3.71</v>
      </c>
      <c r="AC4" s="25">
        <v>2671.63</v>
      </c>
      <c r="AD4" s="30">
        <v>3.71</v>
      </c>
      <c r="AE4" s="26">
        <v>2672.22</v>
      </c>
    </row>
    <row r="5" spans="1:35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  <c r="X5" s="38">
        <f t="shared" ref="X5" si="16">$B$5/Y3</f>
        <v>0.37080982913114896</v>
      </c>
      <c r="Y5" s="39">
        <f>(((X3/365)*$B$6)/100)+W5</f>
        <v>1.1998556164383563</v>
      </c>
      <c r="Z5" s="38">
        <f t="shared" ref="Z5" si="17">$B$5/AA3</f>
        <v>0.37016719732024972</v>
      </c>
      <c r="AA5" s="39">
        <f>(((Z3/365)*$B$6)/100)+Y5</f>
        <v>1.3067523287671234</v>
      </c>
      <c r="AB5" s="38">
        <f t="shared" ref="AB5" si="18">$B$5/AC3</f>
        <v>0.3667632905268981</v>
      </c>
      <c r="AC5" s="39">
        <f>(((AB3/365)*$B$6)/100)+AA5</f>
        <v>1.408850684931507</v>
      </c>
      <c r="AD5" s="38">
        <f t="shared" ref="AD5" si="19">$B$5/AE3</f>
        <v>0.36668044423618568</v>
      </c>
      <c r="AE5" s="39">
        <f>(((AD3/365)*$B$6)/100)+AC5</f>
        <v>1.5109490410958906</v>
      </c>
    </row>
    <row r="6" spans="1:35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20">$B$6/I4</f>
        <v>0.36863042242849026</v>
      </c>
      <c r="I6" s="31">
        <f t="shared" si="1"/>
        <v>0.31589178082191782</v>
      </c>
      <c r="J6" s="29">
        <f t="shared" ref="J6" si="21">$B$6/K4</f>
        <v>0.36872541514767965</v>
      </c>
      <c r="K6" s="31">
        <f t="shared" si="3"/>
        <v>0.42012273972602743</v>
      </c>
      <c r="L6" s="29">
        <f t="shared" ref="L6" si="22">$B$6/M4</f>
        <v>0.37023930472635391</v>
      </c>
      <c r="M6" s="31">
        <f t="shared" si="5"/>
        <v>0.52675287671232884</v>
      </c>
      <c r="N6" s="29">
        <f t="shared" ref="N6" si="23">$B$6/O4</f>
        <v>0.37126493358822027</v>
      </c>
      <c r="O6" s="31">
        <f t="shared" si="7"/>
        <v>0.63498246575342476</v>
      </c>
      <c r="P6" s="29">
        <f t="shared" ref="P6" si="24">$B$6/Q4</f>
        <v>0.37061301602053798</v>
      </c>
      <c r="Q6" s="31">
        <f t="shared" si="9"/>
        <v>0.74241232876712338</v>
      </c>
      <c r="R6" s="29">
        <f t="shared" ref="R6" si="25">$B$6/S4</f>
        <v>0.36940576166684386</v>
      </c>
      <c r="S6" s="31">
        <f t="shared" si="11"/>
        <v>0.84824273972602748</v>
      </c>
      <c r="T6" s="29">
        <f t="shared" ref="T6" si="26">$B$6/U4</f>
        <v>0.37005625007131093</v>
      </c>
      <c r="U6" s="31">
        <f t="shared" si="13"/>
        <v>0.95513945205479467</v>
      </c>
      <c r="V6" s="29">
        <f t="shared" ref="V6" si="27">$B$6/W4</f>
        <v>0.36859969996817848</v>
      </c>
      <c r="W6" s="31">
        <f t="shared" si="15"/>
        <v>1.0601701369863015</v>
      </c>
      <c r="X6" s="29">
        <f t="shared" ref="X6" si="28">$B$6/Y4</f>
        <v>0.36821610084504275</v>
      </c>
      <c r="Y6" s="31">
        <f t="shared" ref="Y6" si="29">(((X4/365)*$B$6)/100)+W6</f>
        <v>1.1646676712328767</v>
      </c>
      <c r="Z6" s="29">
        <f t="shared" ref="Z6" si="30">$B$6/AA4</f>
        <v>0.36757900304112123</v>
      </c>
      <c r="AA6" s="31">
        <f t="shared" ref="AA6" si="31">(((Z4/365)*$B$6)/100)+Y6</f>
        <v>1.2683654794520549</v>
      </c>
      <c r="AB6" s="29">
        <f t="shared" ref="AB6" si="32">$B$6/AC4</f>
        <v>0.36419713807675463</v>
      </c>
      <c r="AC6" s="31">
        <f t="shared" ref="AC6" si="33">(((AB4/365)*$B$6)/100)+AA6</f>
        <v>1.3672649315068495</v>
      </c>
      <c r="AD6" s="29">
        <f t="shared" ref="AD6" si="34">$B$6/AE4</f>
        <v>0.36411672691619706</v>
      </c>
      <c r="AE6" s="31">
        <f t="shared" ref="AE6" si="35">(((AD4/365)*$B$6)/100)+AC6</f>
        <v>1.466164383561644</v>
      </c>
      <c r="AF6" s="22"/>
      <c r="AG6" s="22"/>
      <c r="AH6" s="22"/>
      <c r="AI6" s="22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2019-05-30T16:29:55Z</dcterms:modified>
</cp:coreProperties>
</file>