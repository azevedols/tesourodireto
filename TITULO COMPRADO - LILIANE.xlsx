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240" yWindow="105" windowWidth="14805" windowHeight="8010" activeTab="1"/>
  </bookViews>
  <sheets>
    <sheet name="130519" sheetId="1" r:id="rId1"/>
    <sheet name="GRAFICO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H6" i="2" l="1"/>
  <c r="I6" i="2"/>
  <c r="K6" i="2" s="1"/>
  <c r="M6" i="2" s="1"/>
  <c r="O6" i="2" s="1"/>
  <c r="Q6" i="2" s="1"/>
  <c r="S6" i="2" s="1"/>
  <c r="J6" i="2"/>
  <c r="L6" i="2"/>
  <c r="N6" i="2"/>
  <c r="P6" i="2"/>
  <c r="R6" i="2"/>
  <c r="G6" i="2"/>
  <c r="F6" i="2"/>
  <c r="E6" i="2"/>
  <c r="I5" i="2"/>
  <c r="K5" i="2" s="1"/>
  <c r="M5" i="2" s="1"/>
  <c r="O5" i="2" s="1"/>
  <c r="Q5" i="2" s="1"/>
  <c r="S5" i="2" s="1"/>
  <c r="G5" i="2"/>
  <c r="E5" i="2"/>
  <c r="D6" i="2"/>
  <c r="F2" i="1"/>
  <c r="D2" i="1"/>
  <c r="C2" i="1"/>
  <c r="H2" i="1"/>
  <c r="B5" i="2" l="1"/>
  <c r="G2" i="1"/>
  <c r="E2" i="1"/>
  <c r="A2" i="1"/>
  <c r="F5" i="2" l="1"/>
  <c r="H5" i="2"/>
  <c r="L5" i="2"/>
  <c r="P5" i="2"/>
  <c r="J5" i="2"/>
  <c r="N5" i="2"/>
  <c r="R5" i="2"/>
  <c r="D5" i="2"/>
</calcChain>
</file>

<file path=xl/sharedStrings.xml><?xml version="1.0" encoding="utf-8"?>
<sst xmlns="http://schemas.openxmlformats.org/spreadsheetml/2006/main" count="33" uniqueCount="18">
  <si>
    <t>TÍTULO COMPRADO</t>
  </si>
  <si>
    <t>DATA COMPRA</t>
  </si>
  <si>
    <t>VALOR COMPRADO</t>
  </si>
  <si>
    <t>FRAÇÃO</t>
  </si>
  <si>
    <t>TAXA JUROS COMPRA (%)</t>
  </si>
  <si>
    <t>VALOR TITULO NA COMPRA</t>
  </si>
  <si>
    <t>TAXA JUROS VENDA (%)</t>
  </si>
  <si>
    <t>VALOR TITULO VENDA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</si>
  <si>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</si>
  <si>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</si>
  <si>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</si>
  <si>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</si>
  <si>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</si>
  <si>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</si>
  <si>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</si>
  <si>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</si>
  <si>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</si>
  <si>
    <t>Tesouro IPCA+ 2024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</si>
</sst>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44" formatCode="_-&quot;R$&quot;* #,##0.00_-;\-&quot;R$&quot;* #,##0.00_-;_-&quot;R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 applyBorder="1" applyAlignment="1">
      <alignment horizontal="center"/>
    </xf>
    <xf numFmtId="0" fontId="2" fillId="0" borderId="0" xfId="1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14" fontId="2" fillId="0" borderId="0" xfId="0" applyNumberFormat="1" applyFont="1" applyBorder="1" applyAlignment="1"/>
    <xf numFmtId="8" fontId="2" fillId="0" borderId="0" xfId="0" applyNumberFormat="1" applyFont="1" applyBorder="1" applyAlignment="1">
      <alignment horizontal="right"/>
    </xf>
    <xf numFmtId="0" fontId="2" fillId="0" borderId="0" xfId="1" applyNumberFormat="1" applyFont="1" applyBorder="1" applyAlignment="1">
      <alignment horizontal="right"/>
    </xf>
    <xf numFmtId="0" fontId="2" fillId="0" borderId="0" xfId="0" applyNumberFormat="1" applyFont="1" applyBorder="1" applyAlignment="1">
      <alignment horizontal="right"/>
    </xf>
    <xf numFmtId="8" fontId="0" fillId="0" borderId="0" xfId="0" applyNumberFormat="1"/>
    <xf numFmtId="0" fontId="0" fillId="0" borderId="0" xfId="0" applyFont="1" applyAlignment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wrapText="1"/>
    </xf>
    <xf numFmtId="0" fontId="4" fillId="4" borderId="2" xfId="0" applyFont="1" applyFill="1" applyBorder="1" applyAlignment="1">
      <alignment horizontal="left"/>
    </xf>
    <xf numFmtId="16" fontId="4" fillId="5" borderId="2" xfId="0" applyNumberFormat="1" applyFont="1" applyFill="1" applyBorder="1" applyAlignment="1">
      <alignment horizontal="center" wrapText="1"/>
    </xf>
    <xf numFmtId="16" fontId="4" fillId="5" borderId="3" xfId="0" applyNumberFormat="1" applyFont="1" applyFill="1" applyBorder="1" applyAlignment="1">
      <alignment horizontal="center" wrapText="1"/>
    </xf>
    <xf numFmtId="16" fontId="4" fillId="5" borderId="5" xfId="0" applyNumberFormat="1" applyFont="1" applyFill="1" applyBorder="1" applyAlignment="1">
      <alignment horizontal="center" wrapText="1"/>
    </xf>
    <xf numFmtId="0" fontId="0" fillId="0" borderId="1" xfId="0" applyFont="1" applyBorder="1" applyAlignment="1"/>
    <xf numFmtId="0" fontId="0" fillId="0" borderId="5" xfId="0" applyFont="1" applyBorder="1" applyAlignment="1"/>
    <xf numFmtId="0" fontId="4" fillId="5" borderId="8" xfId="0" applyFont="1" applyFill="1" applyBorder="1" applyAlignment="1">
      <alignment horizontal="center" vertical="center"/>
    </xf>
    <xf numFmtId="8" fontId="4" fillId="5" borderId="7" xfId="0" applyNumberFormat="1" applyFont="1" applyFill="1" applyBorder="1" applyAlignment="1">
      <alignment horizontal="center" vertical="center"/>
    </xf>
    <xf numFmtId="0" fontId="0" fillId="0" borderId="0" xfId="0" applyFont="1" applyBorder="1" applyAlignment="1"/>
    <xf numFmtId="0" fontId="0" fillId="0" borderId="1" xfId="0" applyBorder="1"/>
    <xf numFmtId="0" fontId="0" fillId="0" borderId="0" xfId="0" applyBorder="1"/>
    <xf numFmtId="14" fontId="4" fillId="5" borderId="0" xfId="0" applyNumberFormat="1" applyFont="1" applyFill="1" applyBorder="1" applyAlignment="1">
      <alignment horizontal="center" wrapText="1"/>
    </xf>
    <xf numFmtId="8" fontId="4" fillId="5" borderId="0" xfId="0" applyNumberFormat="1" applyFont="1" applyFill="1" applyBorder="1" applyAlignment="1">
      <alignment horizontal="center" vertical="center"/>
    </xf>
    <xf numFmtId="14" fontId="4" fillId="4" borderId="0" xfId="0" applyNumberFormat="1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 vertical="center"/>
    </xf>
    <xf numFmtId="14" fontId="4" fillId="4" borderId="5" xfId="0" applyNumberFormat="1" applyFont="1" applyFill="1" applyBorder="1" applyAlignment="1">
      <alignment horizontal="center"/>
    </xf>
    <xf numFmtId="0" fontId="4" fillId="5" borderId="8" xfId="0" applyFont="1" applyFill="1" applyBorder="1" applyAlignment="1">
      <alignment wrapText="1"/>
    </xf>
    <xf numFmtId="0" fontId="4" fillId="5" borderId="10" xfId="0" applyFont="1" applyFill="1" applyBorder="1" applyAlignment="1">
      <alignment horizontal="center" vertical="center"/>
    </xf>
    <xf numFmtId="8" fontId="4" fillId="5" borderId="10" xfId="0" applyNumberFormat="1" applyFont="1" applyFill="1" applyBorder="1" applyAlignment="1">
      <alignment horizontal="center" vertical="center"/>
    </xf>
    <xf numFmtId="8" fontId="4" fillId="5" borderId="11" xfId="0" applyNumberFormat="1" applyFont="1" applyFill="1" applyBorder="1" applyAlignment="1">
      <alignment horizontal="center" vertical="center"/>
    </xf>
    <xf numFmtId="8" fontId="0" fillId="0" borderId="1" xfId="0" applyNumberFormat="1" applyBorder="1"/>
    <xf numFmtId="14" fontId="2" fillId="0" borderId="1" xfId="0" applyNumberFormat="1" applyFont="1" applyBorder="1" applyAlignment="1"/>
    <xf numFmtId="2" fontId="0" fillId="0" borderId="1" xfId="0" applyNumberFormat="1" applyBorder="1"/>
    <xf numFmtId="0" fontId="4" fillId="5" borderId="9" xfId="0" applyFont="1" applyFill="1" applyBorder="1" applyAlignment="1">
      <alignment horizontal="center" vertical="center"/>
    </xf>
    <xf numFmtId="44" fontId="0" fillId="0" borderId="1" xfId="2" applyFont="1" applyBorder="1"/>
    <xf numFmtId="0" fontId="4" fillId="4" borderId="4" xfId="0" applyFont="1" applyFill="1" applyBorder="1" applyAlignment="1">
      <alignment horizontal="left"/>
    </xf>
    <xf numFmtId="0" fontId="3" fillId="3" borderId="6" xfId="0" applyFont="1" applyFill="1" applyBorder="1" applyAlignment="1">
      <alignment wrapText="1"/>
    </xf>
    <xf numFmtId="2" fontId="2" fillId="0" borderId="0" xfId="0" applyNumberFormat="1" applyFont="1" applyBorder="1" applyAlignment="1">
      <alignment horizontal="right"/>
    </xf>
    <xf numFmtId="2" fontId="0" fillId="0" borderId="0" xfId="0" applyNumberFormat="1" applyFont="1" applyBorder="1" applyAlignment="1"/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GRAFICO!$A$3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(GRAFICO!$D$1:$D$2,GRAFICO!$F$1:$F$2,GRAFICO!$H$1:$H$2,GRAFICO!$J$1:$J$2,GRAFICO!$L$1:$L$2,GRAFICO!$N$1:$N$2,GRAFICO!$P$1:$P$2,GRAFICO!$R$1:$R$2)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GRAFICO!$B$3:$S$3</c15:sqref>
                  </c15:fullRef>
                </c:ext>
              </c:extLst>
              <c:f>(GRAFICO!$D$3,GRAFICO!$F$3,GRAFICO!$H$3,GRAFICO!$J$3,GRAFICO!$L$3,GRAFICO!$N$3,GRAFICO!$P$3,GRAFICO!$R$3)</c:f>
              <c:numCache>
                <c:formatCode>m/d/yyyy</c:formatCode>
                <c:ptCount val="8"/>
                <c:pt idx="0" formatCode="General">
                  <c:v>4.08</c:v>
                </c:pt>
                <c:pt idx="1" formatCode="General">
                  <c:v>4.1100000000000003</c:v>
                </c:pt>
                <c:pt idx="2" formatCode="General">
                  <c:v>4.0199999999999996</c:v>
                </c:pt>
                <c:pt idx="3" formatCode="General">
                  <c:v>4.03</c:v>
                </c:pt>
                <c:pt idx="4" formatCode="General">
                  <c:v>4.12</c:v>
                </c:pt>
                <c:pt idx="5" formatCode="General">
                  <c:v>4.18</c:v>
                </c:pt>
                <c:pt idx="6" formatCode="General">
                  <c:v>4.1500000000000004</c:v>
                </c:pt>
                <c:pt idx="7" formatCode="General">
                  <c:v>4.09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GRAFICO!$A$4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(GRAFICO!$D$1:$D$2,GRAFICO!$F$1:$F$2,GRAFICO!$H$1:$H$2,GRAFICO!$J$1:$J$2,GRAFICO!$L$1:$L$2,GRAFICO!$N$1:$N$2,GRAFICO!$P$1:$P$2,GRAFICO!$R$1:$R$2)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GRAFICO!$B$4:$S$4</c15:sqref>
                  </c15:fullRef>
                </c:ext>
              </c:extLst>
              <c:f>(GRAFICO!$D$4,GRAFICO!$F$4,GRAFICO!$H$4,GRAFICO!$J$4,GRAFICO!$L$4,GRAFICO!$N$4,GRAFICO!$P$4,GRAFICO!$R$4)</c:f>
              <c:numCache>
                <c:formatCode>m/d/yyyy</c:formatCode>
                <c:ptCount val="8"/>
                <c:pt idx="0" formatCode="General">
                  <c:v>3.96</c:v>
                </c:pt>
                <c:pt idx="1" formatCode="General">
                  <c:v>3.99</c:v>
                </c:pt>
                <c:pt idx="2" formatCode="General">
                  <c:v>3.9</c:v>
                </c:pt>
                <c:pt idx="3" formatCode="General">
                  <c:v>3.91</c:v>
                </c:pt>
                <c:pt idx="4" formatCode="General">
                  <c:v>4</c:v>
                </c:pt>
                <c:pt idx="5" formatCode="General">
                  <c:v>4.0599999999999996</c:v>
                </c:pt>
                <c:pt idx="6" formatCode="General">
                  <c:v>4.03</c:v>
                </c:pt>
                <c:pt idx="7" formatCode="General">
                  <c:v>3.97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0050192"/>
        <c:axId val="-189004638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GRAFICO!$A$5</c15:sqref>
                        </c15:formulaRef>
                      </c:ext>
                    </c:extLst>
                    <c:strCache>
                      <c:ptCount val="1"/>
                      <c:pt idx="0">
                        <c:v>TITULO 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GRAFICO!$B$1:$S$2</c15:sqref>
                        </c15:fullRef>
                        <c15:formulaRef>
                          <c15:sqref>(GRAFICO!$D$1:$D$2,GRAFICO!$F$1:$F$2,GRAFICO!$H$1:$H$2,GRAFICO!$J$1:$J$2,GRAFICO!$L$1:$L$2,GRAFICO!$N$1:$N$2,GRAFICO!$P$1:$P$2,GRAFICO!$R$1:$R$2)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GRAFICO!$B$5:$S$5</c15:sqref>
                        </c15:fullRef>
                        <c15:formulaRef>
                          <c15:sqref>(GRAFICO!$D$5,GRAFICO!$F$5,GRAFICO!$H$5,GRAFICO!$J$5,GRAFICO!$L$5,GRAFICO!$N$5,GRAFICO!$P$5,GRAFICO!$R$5)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0.00">
                        <c:v>0.37254651083455215</c:v>
                      </c:pt>
                      <c:pt idx="1" formatCode="0.00">
                        <c:v>0.37297883012427957</c:v>
                      </c:pt>
                      <c:pt idx="2" formatCode="0.00">
                        <c:v>0.37119894265971537</c:v>
                      </c:pt>
                      <c:pt idx="3" formatCode="0.00">
                        <c:v>0.37129376190375712</c:v>
                      </c:pt>
                      <c:pt idx="4" formatCode="0.00">
                        <c:v>0.37281320326793688</c:v>
                      </c:pt>
                      <c:pt idx="5" formatCode="0.00">
                        <c:v>0.37384361561003238</c:v>
                      </c:pt>
                      <c:pt idx="6" formatCode="0.00">
                        <c:v>0.37318607075842564</c:v>
                      </c:pt>
                      <c:pt idx="7" formatCode="0.00">
                        <c:v>0.37197022094708199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GRAFICO!$A$6</c15:sqref>
                        </c15:formulaRef>
                      </c:ext>
                    </c:extLst>
                    <c:strCache>
                      <c:ptCount val="1"/>
                      <c:pt idx="0">
                        <c:v>TITULO 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GRAFICO!$B$1:$S$2</c15:sqref>
                        </c15:fullRef>
                        <c15:formulaRef>
                          <c15:sqref>(GRAFICO!$D$1:$D$2,GRAFICO!$F$1:$F$2,GRAFICO!$H$1:$H$2,GRAFICO!$J$1:$J$2,GRAFICO!$L$1:$L$2,GRAFICO!$N$1:$N$2,GRAFICO!$P$1:$P$2,GRAFICO!$R$1:$R$2)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GRAFICO!$B$6:$S$6</c15:sqref>
                        </c15:fullRef>
                        <c15:formulaRef>
                          <c15:sqref>(GRAFICO!$D$6,GRAFICO!$F$6,GRAFICO!$H$6,GRAFICO!$J$6,GRAFICO!$L$6,GRAFICO!$N$6,GRAFICO!$P$6,GRAFICO!$R$6)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0.00">
                        <c:v>0.36996619733304947</c:v>
                      </c:pt>
                      <c:pt idx="1" formatCode="0.00">
                        <c:v>0.37039856865506871</c:v>
                      </c:pt>
                      <c:pt idx="2" formatCode="0.00">
                        <c:v>0.36863042242849026</c:v>
                      </c:pt>
                      <c:pt idx="3" formatCode="0.00">
                        <c:v>0.36872541514767965</c:v>
                      </c:pt>
                      <c:pt idx="4" formatCode="0.00">
                        <c:v>0.37023930472635391</c:v>
                      </c:pt>
                      <c:pt idx="5" formatCode="0.00">
                        <c:v>0.37126493358822027</c:v>
                      </c:pt>
                      <c:pt idx="6" formatCode="0.00">
                        <c:v>0.37061301602053798</c:v>
                      </c:pt>
                      <c:pt idx="7" formatCode="0.00">
                        <c:v>0.36940576166684386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005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46384"/>
        <c:crosses val="autoZero"/>
        <c:auto val="1"/>
        <c:lblAlgn val="ctr"/>
        <c:lblOffset val="100"/>
        <c:noMultiLvlLbl val="0"/>
      </c:catAx>
      <c:valAx>
        <c:axId val="-189004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5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GRAFICO!$A$5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(GRAFICO!$E$1:$E$2,GRAFICO!$G$1:$G$2,GRAFICO!$I$1:$I$2,GRAFICO!$K$1:$K$2,GRAFICO!$M$1:$M$2,GRAFICO!$O$1:$O$2,GRAFICO!$Q$1:$Q$2,GRAFICO!$S$1:$S$2)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GRAFICO!$B$5:$S$5</c15:sqref>
                  </c15:fullRef>
                </c:ext>
              </c:extLst>
              <c:f>(GRAFICO!$E$5,GRAFICO!$G$5,GRAFICO!$I$5,GRAFICO!$K$5,GRAFICO!$M$5,GRAFICO!$O$5,GRAFICO!$Q$5,GRAFICO!$S$5)</c:f>
              <c:numCache>
                <c:formatCode>m/d/yyyy</c:formatCode>
                <c:ptCount val="8"/>
                <c:pt idx="0" formatCode="_(&quot;R$&quot;* #,##0.00_);_(&quot;R$&quot;* \(#,##0.00\);_(&quot;R$&quot;* &quot;-&quot;??_);_(@_)">
                  <c:v>0.1087627397260274</c:v>
                </c:pt>
                <c:pt idx="1" formatCode="_(&quot;R$&quot;* #,##0.00_);_(&quot;R$&quot;* \(#,##0.00\);_(&quot;R$&quot;* &quot;-&quot;??_);_(@_)">
                  <c:v>0.21832520547945206</c:v>
                </c:pt>
                <c:pt idx="2" formatCode="_(&quot;R$&quot;* #,##0.00_);_(&quot;R$&quot;* \(#,##0.00\);_(&quot;R$&quot;* &quot;-&quot;??_);_(@_)">
                  <c:v>0.32548849315068495</c:v>
                </c:pt>
                <c:pt idx="3" formatCode="_(&quot;R$&quot;* #,##0.00_);_(&quot;R$&quot;* \(#,##0.00\);_(&quot;R$&quot;* &quot;-&quot;??_);_(@_)">
                  <c:v>0.43291835616438357</c:v>
                </c:pt>
                <c:pt idx="4" formatCode="_(&quot;R$&quot;* #,##0.00_);_(&quot;R$&quot;* \(#,##0.00\);_(&quot;R$&quot;* &quot;-&quot;??_);_(@_)">
                  <c:v>0.54274739726027399</c:v>
                </c:pt>
                <c:pt idx="5" formatCode="_(&quot;R$&quot;* #,##0.00_);_(&quot;R$&quot;* \(#,##0.00\);_(&quot;R$&quot;* &quot;-&quot;??_);_(@_)">
                  <c:v>0.65417589041095892</c:v>
                </c:pt>
                <c:pt idx="6" formatCode="_(&quot;R$&quot;* #,##0.00_);_(&quot;R$&quot;* \(#,##0.00\);_(&quot;R$&quot;* &quot;-&quot;??_);_(@_)">
                  <c:v>0.76480465753424665</c:v>
                </c:pt>
                <c:pt idx="7" formatCode="_(&quot;R$&quot;* #,##0.00_);_(&quot;R$&quot;* \(#,##0.00\);_(&quot;R$&quot;* &quot;-&quot;??_);_(@_)">
                  <c:v>0.87383397260273976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GRAFICO!$A$6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GRAFICO!$B$1:$S$2</c15:sqref>
                  </c15:fullRef>
                </c:ext>
              </c:extLst>
              <c:f>(GRAFICO!$E$1:$E$2,GRAFICO!$G$1:$G$2,GRAFICO!$I$1:$I$2,GRAFICO!$K$1:$K$2,GRAFICO!$M$1:$M$2,GRAFICO!$O$1:$O$2,GRAFICO!$Q$1:$Q$2,GRAFICO!$S$1:$S$2)</c:f>
              <c:multiLvlStrCache>
                <c:ptCount val="8"/>
                <c:lvl>
                  <c:pt idx="0">
                    <c:v>13/mai</c:v>
                  </c:pt>
                  <c:pt idx="1">
                    <c:v>14/mai</c:v>
                  </c:pt>
                  <c:pt idx="2">
                    <c:v>15/mai</c:v>
                  </c:pt>
                  <c:pt idx="3">
                    <c:v>16/mai</c:v>
                  </c:pt>
                  <c:pt idx="4">
                    <c:v>17/mai</c:v>
                  </c:pt>
                  <c:pt idx="5">
                    <c:v>20/mai</c:v>
                  </c:pt>
                  <c:pt idx="6">
                    <c:v>21/mai</c:v>
                  </c:pt>
                  <c:pt idx="7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GRAFICO!$B$6:$S$6</c15:sqref>
                  </c15:fullRef>
                </c:ext>
              </c:extLst>
              <c:f>(GRAFICO!$E$6,GRAFICO!$G$6,GRAFICO!$I$6,GRAFICO!$K$6,GRAFICO!$M$6,GRAFICO!$O$6,GRAFICO!$Q$6,GRAFICO!$S$6)</c:f>
              <c:numCache>
                <c:formatCode>m/d/yyyy</c:formatCode>
                <c:ptCount val="8"/>
                <c:pt idx="0" formatCode="_(&quot;R$&quot;* #,##0.00_);_(&quot;R$&quot;* \(#,##0.00\);_(&quot;R$&quot;* &quot;-&quot;??_);_(@_)">
                  <c:v>0.10556383561643835</c:v>
                </c:pt>
                <c:pt idx="1" formatCode="_(&quot;R$&quot;* #,##0.00_);_(&quot;R$&quot;* \(#,##0.00\);_(&quot;R$&quot;* &quot;-&quot;??_);_(@_)">
                  <c:v>0.21192739726027399</c:v>
                </c:pt>
                <c:pt idx="2" formatCode="_(&quot;R$&quot;* #,##0.00_);_(&quot;R$&quot;* \(#,##0.00\);_(&quot;R$&quot;* &quot;-&quot;??_);_(@_)">
                  <c:v>0.31589178082191782</c:v>
                </c:pt>
                <c:pt idx="3" formatCode="_(&quot;R$&quot;* #,##0.00_);_(&quot;R$&quot;* \(#,##0.00\);_(&quot;R$&quot;* &quot;-&quot;??_);_(@_)">
                  <c:v>0.42012273972602743</c:v>
                </c:pt>
                <c:pt idx="4" formatCode="_(&quot;R$&quot;* #,##0.00_);_(&quot;R$&quot;* \(#,##0.00\);_(&quot;R$&quot;* &quot;-&quot;??_);_(@_)">
                  <c:v>0.52675287671232884</c:v>
                </c:pt>
                <c:pt idx="5" formatCode="_(&quot;R$&quot;* #,##0.00_);_(&quot;R$&quot;* \(#,##0.00\);_(&quot;R$&quot;* &quot;-&quot;??_);_(@_)">
                  <c:v>0.63498246575342476</c:v>
                </c:pt>
                <c:pt idx="6" formatCode="_(&quot;R$&quot;* #,##0.00_);_(&quot;R$&quot;* \(#,##0.00\);_(&quot;R$&quot;* &quot;-&quot;??_);_(@_)">
                  <c:v>0.74241232876712338</c:v>
                </c:pt>
                <c:pt idx="7" formatCode="_(&quot;R$&quot;* #,##0.00_);_(&quot;R$&quot;* \(#,##0.00\);_(&quot;R$&quot;* &quot;-&quot;??_);_(@_)">
                  <c:v>0.84824273972602748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890049648"/>
        <c:axId val="-18900409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GRAFICO!$A$3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GRAFICO!$B$1:$S$2</c15:sqref>
                        </c15:fullRef>
                        <c15:formulaRef>
                          <c15:sqref>(GRAFICO!$E$1:$E$2,GRAFICO!$G$1:$G$2,GRAFICO!$I$1:$I$2,GRAFICO!$K$1:$K$2,GRAFICO!$M$1:$M$2,GRAFICO!$O$1:$O$2,GRAFICO!$Q$1:$Q$2,GRAFICO!$S$1:$S$2)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GRAFICO!$B$3:$S$3</c15:sqref>
                        </c15:fullRef>
                        <c15:formulaRef>
                          <c15:sqref>(GRAFICO!$E$3,GRAFICO!$G$3,GRAFICO!$I$3,GRAFICO!$K$3,GRAFICO!$M$3,GRAFICO!$O$3,GRAFICO!$Q$3,GRAFICO!$S$3)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&quot;R$&quot;#,##0.00_);[Red]\(&quot;R$&quot;#,##0.00\)">
                        <c:v>2614.1</c:v>
                      </c:pt>
                      <c:pt idx="1" formatCode="&quot;R$&quot;#,##0.00_);[Red]\(&quot;R$&quot;#,##0.00\)">
                        <c:v>2611.0700000000002</c:v>
                      </c:pt>
                      <c:pt idx="2" formatCode="&quot;R$&quot;#,##0.00_);[Red]\(&quot;R$&quot;#,##0.00\)">
                        <c:v>2623.59</c:v>
                      </c:pt>
                      <c:pt idx="3" formatCode="&quot;R$&quot;#,##0.00_);[Red]\(&quot;R$&quot;#,##0.00\)">
                        <c:v>2622.92</c:v>
                      </c:pt>
                      <c:pt idx="4" formatCode="&quot;R$&quot;#,##0.00_);[Red]\(&quot;R$&quot;#,##0.00\)">
                        <c:v>2612.23</c:v>
                      </c:pt>
                      <c:pt idx="5" formatCode="&quot;R$&quot;#,##0.00_);[Red]\(&quot;R$&quot;#,##0.00\)">
                        <c:v>2605.0300000000002</c:v>
                      </c:pt>
                      <c:pt idx="6" formatCode="&quot;R$&quot;#,##0.00_);[Red]\(&quot;R$&quot;#,##0.00\)">
                        <c:v>2609.62</c:v>
                      </c:pt>
                      <c:pt idx="7" formatCode="&quot;R$&quot;#,##0.00_);[Red]\(&quot;R$&quot;#,##0.00\)">
                        <c:v>2618.15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GRAFICO!$A$4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GRAFICO!$B$1:$S$2</c15:sqref>
                        </c15:fullRef>
                        <c15:formulaRef>
                          <c15:sqref>(GRAFICO!$E$1:$E$2,GRAFICO!$G$1:$G$2,GRAFICO!$I$1:$I$2,GRAFICO!$K$1:$K$2,GRAFICO!$M$1:$M$2,GRAFICO!$O$1:$O$2,GRAFICO!$Q$1:$Q$2,GRAFICO!$S$1:$S$2)</c15:sqref>
                        </c15:formulaRef>
                      </c:ext>
                    </c:extLst>
                    <c:multiLvlStrCache>
                      <c:ptCount val="8"/>
                      <c:lvl>
                        <c:pt idx="0">
                          <c:v>13/mai</c:v>
                        </c:pt>
                        <c:pt idx="1">
                          <c:v>14/mai</c:v>
                        </c:pt>
                        <c:pt idx="2">
                          <c:v>15/mai</c:v>
                        </c:pt>
                        <c:pt idx="3">
                          <c:v>16/mai</c:v>
                        </c:pt>
                        <c:pt idx="4">
                          <c:v>17/mai</c:v>
                        </c:pt>
                        <c:pt idx="5">
                          <c:v>20/mai</c:v>
                        </c:pt>
                        <c:pt idx="6">
                          <c:v>21/mai</c:v>
                        </c:pt>
                        <c:pt idx="7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GRAFICO!$B$4:$S$4</c15:sqref>
                        </c15:fullRef>
                        <c15:formulaRef>
                          <c15:sqref>(GRAFICO!$E$4,GRAFICO!$G$4,GRAFICO!$I$4,GRAFICO!$K$4,GRAFICO!$M$4,GRAFICO!$O$4,GRAFICO!$Q$4,GRAFICO!$S$4)</c15:sqref>
                        </c15:formulaRef>
                      </c:ext>
                    </c:extLst>
                    <c:numCache>
                      <c:formatCode>m/d/yyyy</c:formatCode>
                      <c:ptCount val="8"/>
                      <c:pt idx="0" formatCode="&quot;R$&quot;#,##0.00_);[Red]\(&quot;R$&quot;#,##0.00\)">
                        <c:v>2629.97</c:v>
                      </c:pt>
                      <c:pt idx="1" formatCode="&quot;R$&quot;#,##0.00_);[Red]\(&quot;R$&quot;#,##0.00\)">
                        <c:v>2626.9</c:v>
                      </c:pt>
                      <c:pt idx="2" formatCode="&quot;R$&quot;#,##0.00_);[Red]\(&quot;R$&quot;#,##0.00\)">
                        <c:v>2639.5</c:v>
                      </c:pt>
                      <c:pt idx="3" formatCode="&quot;R$&quot;#,##0.00_);[Red]\(&quot;R$&quot;#,##0.00\)">
                        <c:v>2638.82</c:v>
                      </c:pt>
                      <c:pt idx="4" formatCode="&quot;R$&quot;#,##0.00_);[Red]\(&quot;R$&quot;#,##0.00\)">
                        <c:v>2628.03</c:v>
                      </c:pt>
                      <c:pt idx="5" formatCode="&quot;R$&quot;#,##0.00_);[Red]\(&quot;R$&quot;#,##0.00\)">
                        <c:v>2620.77</c:v>
                      </c:pt>
                      <c:pt idx="6" formatCode="&quot;R$&quot;#,##0.00_);[Red]\(&quot;R$&quot;#,##0.00\)">
                        <c:v>2625.38</c:v>
                      </c:pt>
                      <c:pt idx="7" formatCode="&quot;R$&quot;#,##0.00_);[Red]\(&quot;R$&quot;#,##0.00\)">
                        <c:v>2633.96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890049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40944"/>
        <c:crosses val="autoZero"/>
        <c:auto val="1"/>
        <c:lblAlgn val="ctr"/>
        <c:lblOffset val="100"/>
        <c:noMultiLvlLbl val="0"/>
      </c:catAx>
      <c:valAx>
        <c:axId val="-189004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890049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7</xdr:row>
      <xdr:rowOff>4762</xdr:rowOff>
    </xdr:from>
    <xdr:to>
      <xdr:col>9</xdr:col>
      <xdr:colOff>1904999</xdr:colOff>
      <xdr:row>21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4762</xdr:rowOff>
    </xdr:from>
    <xdr:to>
      <xdr:col>10</xdr:col>
      <xdr:colOff>0</xdr:colOff>
      <xdr:row>37</xdr:row>
      <xdr:rowOff>80962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210519"/>
      <sheetName val="22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R5">
            <v>2614.1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F3" sqref="F3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9" bestFit="1" customWidth="1"/>
    <col min="4" max="4" width="8.7109375" bestFit="1" customWidth="1"/>
    <col min="5" max="5" width="24.85546875" bestFit="1" customWidth="1"/>
    <col min="6" max="6" width="26.42578125" bestFit="1" customWidth="1"/>
    <col min="7" max="7" width="23.140625" bestFit="1" customWidth="1"/>
    <col min="8" max="8" width="21.42578125" bestFit="1" customWidth="1"/>
  </cols>
  <sheetData>
    <row r="1" spans="1:8" x14ac:dyDescent="0.2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spans="1:8" x14ac:dyDescent="0.25">
      <c r="A2" t="str">
        <f>'[1]020519'!$A$4</f>
        <v>Tesouro IPCA+ 2035</v>
      </c>
      <c r="B2" s="5">
        <v>43587</v>
      </c>
      <c r="C2" s="6">
        <f>GRAFICO!B6</f>
        <v>973</v>
      </c>
      <c r="D2" s="41">
        <f>C2/F2</f>
        <v>0.36996619733304947</v>
      </c>
      <c r="E2" s="7">
        <f>'[1]020519'!$C$4</f>
        <v>4.4400000000000004</v>
      </c>
      <c r="F2" s="6">
        <f>GRAFICO!E4</f>
        <v>2629.97</v>
      </c>
      <c r="G2" s="8">
        <f>'[2]020519'!$C$5</f>
        <v>4.5599999999999996</v>
      </c>
      <c r="H2" s="9">
        <f>'[2]TESOURO IPCA'!$R$5</f>
        <v>2614.1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6"/>
  <sheetViews>
    <sheetView tabSelected="1" topLeftCell="B13" workbookViewId="0">
      <selection activeCell="S3" sqref="S3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</cols>
  <sheetData>
    <row r="1" spans="1:35" s="10" customFormat="1" ht="15.75" customHeight="1" x14ac:dyDescent="0.25">
      <c r="A1" s="42"/>
      <c r="B1" s="11" t="s">
        <v>8</v>
      </c>
      <c r="C1" s="12" t="s">
        <v>9</v>
      </c>
      <c r="D1" s="13" t="s">
        <v>10</v>
      </c>
      <c r="E1" s="13" t="s">
        <v>11</v>
      </c>
      <c r="F1" s="13" t="s">
        <v>10</v>
      </c>
      <c r="G1" s="13" t="s">
        <v>11</v>
      </c>
      <c r="H1" s="13" t="s">
        <v>10</v>
      </c>
      <c r="I1" s="13" t="s">
        <v>11</v>
      </c>
      <c r="J1" s="13" t="s">
        <v>10</v>
      </c>
      <c r="K1" s="13" t="s">
        <v>11</v>
      </c>
      <c r="L1" s="13" t="s">
        <v>10</v>
      </c>
      <c r="M1" s="13" t="s">
        <v>11</v>
      </c>
      <c r="N1" s="13" t="s">
        <v>10</v>
      </c>
      <c r="O1" s="13" t="s">
        <v>11</v>
      </c>
      <c r="P1" s="40" t="s">
        <v>10</v>
      </c>
      <c r="Q1" s="40" t="s">
        <v>11</v>
      </c>
      <c r="R1" s="40" t="s">
        <v>10</v>
      </c>
      <c r="S1" s="40" t="s">
        <v>11</v>
      </c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</row>
    <row r="2" spans="1:35" s="10" customFormat="1" ht="15.75" customHeight="1" x14ac:dyDescent="0.25">
      <c r="A2" s="42"/>
      <c r="B2" s="14" t="s">
        <v>12</v>
      </c>
      <c r="C2" s="29"/>
      <c r="D2" s="15">
        <v>43598</v>
      </c>
      <c r="E2" s="16">
        <v>43598</v>
      </c>
      <c r="F2" s="15">
        <v>43599</v>
      </c>
      <c r="G2" s="16">
        <v>43599</v>
      </c>
      <c r="H2" s="15">
        <v>43600</v>
      </c>
      <c r="I2" s="16">
        <v>43600</v>
      </c>
      <c r="J2" s="15">
        <v>43601</v>
      </c>
      <c r="K2" s="16">
        <v>43601</v>
      </c>
      <c r="L2" s="15">
        <v>43602</v>
      </c>
      <c r="M2" s="16">
        <v>43602</v>
      </c>
      <c r="N2" s="17">
        <v>43605</v>
      </c>
      <c r="O2" s="17">
        <v>43605</v>
      </c>
      <c r="P2" s="15">
        <v>43606</v>
      </c>
      <c r="Q2" s="17">
        <v>43606</v>
      </c>
      <c r="R2" s="15">
        <v>43607</v>
      </c>
      <c r="S2" s="16">
        <v>43607</v>
      </c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</row>
    <row r="3" spans="1:35" s="19" customFormat="1" ht="16.5" customHeight="1" x14ac:dyDescent="0.25">
      <c r="A3" s="18" t="s">
        <v>13</v>
      </c>
      <c r="B3" s="30" t="s">
        <v>17</v>
      </c>
      <c r="C3" s="25">
        <v>45519</v>
      </c>
      <c r="D3" s="20">
        <v>4.08</v>
      </c>
      <c r="E3" s="21">
        <v>2614.1</v>
      </c>
      <c r="F3" s="20">
        <v>4.1100000000000003</v>
      </c>
      <c r="G3" s="21">
        <v>2611.0700000000002</v>
      </c>
      <c r="H3" s="20">
        <v>4.0199999999999996</v>
      </c>
      <c r="I3" s="21">
        <v>2623.59</v>
      </c>
      <c r="J3" s="20">
        <v>4.03</v>
      </c>
      <c r="K3" s="21">
        <v>2622.92</v>
      </c>
      <c r="L3" s="20">
        <v>4.12</v>
      </c>
      <c r="M3" s="21">
        <v>2612.23</v>
      </c>
      <c r="N3" s="28">
        <v>4.18</v>
      </c>
      <c r="O3" s="26">
        <v>2605.0300000000002</v>
      </c>
      <c r="P3" s="20">
        <v>4.1500000000000004</v>
      </c>
      <c r="Q3" s="26">
        <v>2609.62</v>
      </c>
      <c r="R3" s="20">
        <v>4.09</v>
      </c>
      <c r="S3" s="21">
        <v>2618.15</v>
      </c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</row>
    <row r="4" spans="1:35" s="22" customFormat="1" ht="15.75" customHeight="1" x14ac:dyDescent="0.25">
      <c r="A4" s="18" t="s">
        <v>14</v>
      </c>
      <c r="B4" s="39" t="s">
        <v>17</v>
      </c>
      <c r="C4" s="27">
        <v>45519</v>
      </c>
      <c r="D4" s="37">
        <v>3.96</v>
      </c>
      <c r="E4" s="33">
        <v>2629.97</v>
      </c>
      <c r="F4" s="37">
        <v>3.99</v>
      </c>
      <c r="G4" s="33">
        <v>2626.9</v>
      </c>
      <c r="H4" s="37">
        <v>3.9</v>
      </c>
      <c r="I4" s="33">
        <v>2639.5</v>
      </c>
      <c r="J4" s="37">
        <v>3.91</v>
      </c>
      <c r="K4" s="33">
        <v>2638.82</v>
      </c>
      <c r="L4" s="37">
        <v>4</v>
      </c>
      <c r="M4" s="33">
        <v>2628.03</v>
      </c>
      <c r="N4" s="31">
        <v>4.0599999999999996</v>
      </c>
      <c r="O4" s="32">
        <v>2620.77</v>
      </c>
      <c r="P4" s="37">
        <v>4.03</v>
      </c>
      <c r="Q4" s="32">
        <v>2625.38</v>
      </c>
      <c r="R4" s="37">
        <v>3.97</v>
      </c>
      <c r="S4" s="33">
        <v>2633.96</v>
      </c>
    </row>
    <row r="5" spans="1:35" s="24" customFormat="1" x14ac:dyDescent="0.25">
      <c r="A5" s="23" t="s">
        <v>15</v>
      </c>
      <c r="B5" s="34">
        <f>B6+S5</f>
        <v>973.87383397260271</v>
      </c>
      <c r="C5" s="35">
        <v>43598</v>
      </c>
      <c r="D5" s="36">
        <f>$B$5/E3</f>
        <v>0.37254651083455215</v>
      </c>
      <c r="E5" s="38">
        <f>((D3/365)*$B$6)/100</f>
        <v>0.1087627397260274</v>
      </c>
      <c r="F5" s="36">
        <f>$B$5/G3</f>
        <v>0.37297883012427957</v>
      </c>
      <c r="G5" s="38">
        <f>(((F3/365)*$B$6)/100)+E5</f>
        <v>0.21832520547945206</v>
      </c>
      <c r="H5" s="36">
        <f t="shared" ref="H5:S5" si="0">$B$5/I3</f>
        <v>0.37119894265971537</v>
      </c>
      <c r="I5" s="38">
        <f t="shared" ref="I5:I6" si="1">(((H3/365)*$B$6)/100)+G5</f>
        <v>0.32548849315068495</v>
      </c>
      <c r="J5" s="36">
        <f t="shared" ref="J5:S5" si="2">$B$5/K3</f>
        <v>0.37129376190375712</v>
      </c>
      <c r="K5" s="38">
        <f t="shared" ref="K5:K6" si="3">(((J3/365)*$B$6)/100)+I5</f>
        <v>0.43291835616438357</v>
      </c>
      <c r="L5" s="36">
        <f t="shared" ref="L5:S5" si="4">$B$5/M3</f>
        <v>0.37281320326793688</v>
      </c>
      <c r="M5" s="38">
        <f t="shared" ref="M5:M6" si="5">(((L3/365)*$B$6)/100)+K5</f>
        <v>0.54274739726027399</v>
      </c>
      <c r="N5" s="36">
        <f t="shared" ref="N5:S5" si="6">$B$5/O3</f>
        <v>0.37384361561003238</v>
      </c>
      <c r="O5" s="38">
        <f t="shared" ref="O5:O6" si="7">(((N3/365)*$B$6)/100)+M5</f>
        <v>0.65417589041095892</v>
      </c>
      <c r="P5" s="36">
        <f t="shared" ref="P5:S5" si="8">$B$5/Q3</f>
        <v>0.37318607075842564</v>
      </c>
      <c r="Q5" s="38">
        <f t="shared" ref="Q5:Q6" si="9">(((P3/365)*$B$6)/100)+O5</f>
        <v>0.76480465753424665</v>
      </c>
      <c r="R5" s="36">
        <f t="shared" ref="R5:S5" si="10">$B$5/S3</f>
        <v>0.37197022094708199</v>
      </c>
      <c r="S5" s="38">
        <f t="shared" ref="S5:S6" si="11">(((R3/365)*$B$6)/100)+Q5</f>
        <v>0.87383397260273976</v>
      </c>
    </row>
    <row r="6" spans="1:35" x14ac:dyDescent="0.25">
      <c r="A6" s="23" t="s">
        <v>16</v>
      </c>
      <c r="B6" s="34">
        <v>973</v>
      </c>
      <c r="C6" s="35">
        <v>43598</v>
      </c>
      <c r="D6" s="36">
        <f>$B$6/E4</f>
        <v>0.36996619733304947</v>
      </c>
      <c r="E6" s="38">
        <f>((D4/365)*$B$6)/100</f>
        <v>0.10556383561643835</v>
      </c>
      <c r="F6" s="36">
        <f>$B$6/G4</f>
        <v>0.37039856865506871</v>
      </c>
      <c r="G6" s="38">
        <f>(((F4/365)*$B$6)/100)+E6</f>
        <v>0.21192739726027399</v>
      </c>
      <c r="H6" s="36">
        <f t="shared" ref="H6:S6" si="12">$B$6/I4</f>
        <v>0.36863042242849026</v>
      </c>
      <c r="I6" s="38">
        <f t="shared" si="1"/>
        <v>0.31589178082191782</v>
      </c>
      <c r="J6" s="36">
        <f t="shared" ref="J6:S6" si="13">$B$6/K4</f>
        <v>0.36872541514767965</v>
      </c>
      <c r="K6" s="38">
        <f t="shared" si="3"/>
        <v>0.42012273972602743</v>
      </c>
      <c r="L6" s="36">
        <f t="shared" ref="L6:S6" si="14">$B$6/M4</f>
        <v>0.37023930472635391</v>
      </c>
      <c r="M6" s="38">
        <f t="shared" si="5"/>
        <v>0.52675287671232884</v>
      </c>
      <c r="N6" s="36">
        <f t="shared" ref="N6:S6" si="15">$B$6/O4</f>
        <v>0.37126493358822027</v>
      </c>
      <c r="O6" s="38">
        <f t="shared" si="7"/>
        <v>0.63498246575342476</v>
      </c>
      <c r="P6" s="36">
        <f t="shared" ref="P6:S6" si="16">$B$6/Q4</f>
        <v>0.37061301602053798</v>
      </c>
      <c r="Q6" s="38">
        <f t="shared" si="9"/>
        <v>0.74241232876712338</v>
      </c>
      <c r="R6" s="36">
        <f t="shared" ref="R6:S6" si="17">$B$6/S4</f>
        <v>0.36940576166684386</v>
      </c>
      <c r="S6" s="38">
        <f t="shared" si="11"/>
        <v>0.84824273972602748</v>
      </c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130519</vt:lpstr>
      <vt:lpstr>GRAFICO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2019-05-22T16:30:55Z</dcterms:modified>
</cp:coreProperties>
</file>