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13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F6" i="2" l="1"/>
  <c r="G6" i="2"/>
  <c r="H6" i="2"/>
  <c r="I6" i="2"/>
  <c r="J6" i="2"/>
  <c r="K6" i="2"/>
  <c r="L6" i="2"/>
  <c r="M6" i="2"/>
  <c r="N6" i="2"/>
  <c r="O6" i="2"/>
  <c r="P6" i="2"/>
  <c r="Q6" i="2"/>
  <c r="E6" i="2"/>
  <c r="P5" i="2"/>
  <c r="Q5" i="2"/>
  <c r="E5" i="2"/>
  <c r="D6" i="2"/>
  <c r="F5" i="2"/>
  <c r="G5" i="2"/>
  <c r="H5" i="2"/>
  <c r="I5" i="2"/>
  <c r="J5" i="2"/>
  <c r="K5" i="2"/>
  <c r="L5" i="2"/>
  <c r="M5" i="2"/>
  <c r="N5" i="2"/>
  <c r="O5" i="2"/>
  <c r="D5" i="2"/>
  <c r="H2" i="1" l="1"/>
  <c r="G2" i="1"/>
  <c r="F2" i="1"/>
  <c r="E2" i="1"/>
  <c r="A2" i="1"/>
</calcChain>
</file>

<file path=xl/sharedStrings.xml><?xml version="1.0" encoding="utf-8"?>
<sst xmlns="http://schemas.openxmlformats.org/spreadsheetml/2006/main" count="31" uniqueCount="18">
  <si>
    <t>TÍTULO COMPRADO</t>
  </si>
  <si>
    <t>DATA COMPRA</t>
  </si>
  <si>
    <t>VALOR COMPRADO</t>
  </si>
  <si>
    <t>FRAÇÃO</t>
  </si>
  <si>
    <t>TAXA JUROS COMPRA (%)</t>
  </si>
  <si>
    <t>VALOR TITULO NA COMPRA</t>
  </si>
  <si>
    <t>TAXA JUROS VENDA (%)</t>
  </si>
  <si>
    <t>VALOR TITULO VENDA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</si>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</sst>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44" formatCode="_-&quot;R$&quot;* #,##0.00_-;\-&quot;R$&quot;* #,##0.00_-;_-&quot;R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4" fontId="2" fillId="0" borderId="0" xfId="0" applyNumberFormat="1" applyFont="1" applyBorder="1" applyAlignment="1"/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right"/>
    </xf>
    <xf numFmtId="8" fontId="0" fillId="0" borderId="0" xfId="0" applyNumberFormat="1"/>
    <xf numFmtId="0" fontId="0" fillId="0" borderId="0" xfId="0" applyFont="1" applyAlignme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/>
    </xf>
    <xf numFmtId="16" fontId="4" fillId="5" borderId="2" xfId="0" applyNumberFormat="1" applyFont="1" applyFill="1" applyBorder="1" applyAlignment="1">
      <alignment horizontal="center" wrapText="1"/>
    </xf>
    <xf numFmtId="16" fontId="4" fillId="5" borderId="3" xfId="0" applyNumberFormat="1" applyFont="1" applyFill="1" applyBorder="1" applyAlignment="1">
      <alignment horizontal="center" wrapText="1"/>
    </xf>
    <xf numFmtId="16" fontId="4" fillId="5" borderId="5" xfId="0" applyNumberFormat="1" applyFont="1" applyFill="1" applyBorder="1" applyAlignment="1">
      <alignment horizontal="center" wrapText="1"/>
    </xf>
    <xf numFmtId="0" fontId="0" fillId="0" borderId="1" xfId="0" applyFont="1" applyBorder="1" applyAlignment="1"/>
    <xf numFmtId="0" fontId="0" fillId="0" borderId="5" xfId="0" applyFont="1" applyBorder="1" applyAlignment="1"/>
    <xf numFmtId="0" fontId="4" fillId="5" borderId="8" xfId="0" applyFont="1" applyFill="1" applyBorder="1" applyAlignment="1">
      <alignment horizontal="center" vertical="center"/>
    </xf>
    <xf numFmtId="8" fontId="4" fillId="5" borderId="7" xfId="0" applyNumberFormat="1" applyFont="1" applyFill="1" applyBorder="1" applyAlignment="1">
      <alignment horizontal="center" vertical="center"/>
    </xf>
    <xf numFmtId="0" fontId="0" fillId="0" borderId="0" xfId="0" applyFont="1" applyBorder="1" applyAlignment="1"/>
    <xf numFmtId="0" fontId="0" fillId="0" borderId="1" xfId="0" applyBorder="1"/>
    <xf numFmtId="0" fontId="0" fillId="0" borderId="0" xfId="0" applyBorder="1"/>
    <xf numFmtId="14" fontId="4" fillId="5" borderId="0" xfId="0" applyNumberFormat="1" applyFont="1" applyFill="1" applyBorder="1" applyAlignment="1">
      <alignment horizontal="center" wrapText="1"/>
    </xf>
    <xf numFmtId="8" fontId="4" fillId="5" borderId="0" xfId="0" applyNumberFormat="1" applyFont="1" applyFill="1" applyBorder="1" applyAlignment="1">
      <alignment horizontal="center" vertical="center"/>
    </xf>
    <xf numFmtId="14" fontId="4" fillId="4" borderId="0" xfId="0" applyNumberFormat="1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 vertical="center"/>
    </xf>
    <xf numFmtId="14" fontId="4" fillId="4" borderId="5" xfId="0" applyNumberFormat="1" applyFont="1" applyFill="1" applyBorder="1" applyAlignment="1">
      <alignment horizontal="center"/>
    </xf>
    <xf numFmtId="0" fontId="4" fillId="5" borderId="8" xfId="0" applyFont="1" applyFill="1" applyBorder="1" applyAlignment="1">
      <alignment wrapText="1"/>
    </xf>
    <xf numFmtId="0" fontId="4" fillId="5" borderId="10" xfId="0" applyFont="1" applyFill="1" applyBorder="1" applyAlignment="1">
      <alignment horizontal="center" vertical="center"/>
    </xf>
    <xf numFmtId="8" fontId="4" fillId="5" borderId="10" xfId="0" applyNumberFormat="1" applyFont="1" applyFill="1" applyBorder="1" applyAlignment="1">
      <alignment horizontal="center" vertical="center"/>
    </xf>
    <xf numFmtId="8" fontId="4" fillId="5" borderId="11" xfId="0" applyNumberFormat="1" applyFont="1" applyFill="1" applyBorder="1" applyAlignment="1">
      <alignment horizontal="center" vertical="center"/>
    </xf>
    <xf numFmtId="8" fontId="0" fillId="0" borderId="1" xfId="0" applyNumberFormat="1" applyBorder="1"/>
    <xf numFmtId="14" fontId="2" fillId="0" borderId="1" xfId="0" applyNumberFormat="1" applyFont="1" applyBorder="1" applyAlignment="1"/>
    <xf numFmtId="2" fontId="0" fillId="0" borderId="1" xfId="0" applyNumberFormat="1" applyBorder="1"/>
    <xf numFmtId="0" fontId="4" fillId="5" borderId="9" xfId="0" applyFont="1" applyFill="1" applyBorder="1" applyAlignment="1">
      <alignment horizontal="center" vertical="center"/>
    </xf>
    <xf numFmtId="44" fontId="0" fillId="0" borderId="1" xfId="2" applyFont="1" applyBorder="1"/>
    <xf numFmtId="0" fontId="4" fillId="4" borderId="4" xfId="0" applyFont="1" applyFill="1" applyBorder="1" applyAlignment="1">
      <alignment horizontal="left"/>
    </xf>
    <xf numFmtId="0" fontId="3" fillId="3" borderId="6" xfId="0" applyFont="1" applyFill="1" applyBorder="1" applyAlignment="1">
      <alignment wrapText="1"/>
    </xf>
    <xf numFmtId="2" fontId="0" fillId="0" borderId="12" xfId="0" applyNumberFormat="1" applyBorder="1"/>
    <xf numFmtId="44" fontId="0" fillId="0" borderId="12" xfId="2" applyFon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GRAFICO!$B$1:$Q$2</c15:sqref>
                  </c15:fullRef>
                </c:ext>
              </c:extLst>
              <c:f>(GRAFICO!$D$1:$D$2,GRAFICO!$F$1:$F$2,GRAFICO!$H$1:$H$2,GRAFICO!$J$1:$J$2,GRAFICO!$L$1:$L$2,GRAFICO!$N$1:$N$2,GRAFICO!$P$1:$P$2)</c:f>
              <c:multiLvlStrCache>
                <c:ptCount val="7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GRAFICO!$B$3:$Q$3</c15:sqref>
                  </c15:fullRef>
                </c:ext>
              </c:extLst>
              <c:f>(GRAFICO!$D$3,GRAFICO!$F$3,GRAFICO!$H$3,GRAFICO!$J$3,GRAFICO!$L$3,GRAFICO!$N$3,GRAFICO!$P$3)</c:f>
              <c:numCache>
                <c:formatCode>m/d/yyyy</c:formatCode>
                <c:ptCount val="7"/>
                <c:pt idx="0" formatCode="General">
                  <c:v>4.08</c:v>
                </c:pt>
                <c:pt idx="1" formatCode="General">
                  <c:v>4.1100000000000003</c:v>
                </c:pt>
                <c:pt idx="2" formatCode="General">
                  <c:v>4.0199999999999996</c:v>
                </c:pt>
                <c:pt idx="3" formatCode="General">
                  <c:v>4.03</c:v>
                </c:pt>
                <c:pt idx="4" formatCode="General">
                  <c:v>4.12</c:v>
                </c:pt>
                <c:pt idx="5" formatCode="General">
                  <c:v>4.18</c:v>
                </c:pt>
                <c:pt idx="6" formatCode="General">
                  <c:v>4.1500000000000004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GRAFICO!$B$1:$Q$2</c15:sqref>
                  </c15:fullRef>
                </c:ext>
              </c:extLst>
              <c:f>(GRAFICO!$D$1:$D$2,GRAFICO!$F$1:$F$2,GRAFICO!$H$1:$H$2,GRAFICO!$J$1:$J$2,GRAFICO!$L$1:$L$2,GRAFICO!$N$1:$N$2,GRAFICO!$P$1:$P$2)</c:f>
              <c:multiLvlStrCache>
                <c:ptCount val="7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GRAFICO!$B$4:$Q$4</c15:sqref>
                  </c15:fullRef>
                </c:ext>
              </c:extLst>
              <c:f>(GRAFICO!$D$4,GRAFICO!$F$4,GRAFICO!$H$4,GRAFICO!$J$4,GRAFICO!$L$4,GRAFICO!$N$4,GRAFICO!$P$4)</c:f>
              <c:numCache>
                <c:formatCode>m/d/yyyy</c:formatCode>
                <c:ptCount val="7"/>
                <c:pt idx="0" formatCode="General">
                  <c:v>3.96</c:v>
                </c:pt>
                <c:pt idx="1" formatCode="General">
                  <c:v>3.99</c:v>
                </c:pt>
                <c:pt idx="2" formatCode="General">
                  <c:v>3.9</c:v>
                </c:pt>
                <c:pt idx="3" formatCode="General">
                  <c:v>3.91</c:v>
                </c:pt>
                <c:pt idx="4" formatCode="General">
                  <c:v>4</c:v>
                </c:pt>
                <c:pt idx="5" formatCode="General">
                  <c:v>4.0599999999999996</c:v>
                </c:pt>
                <c:pt idx="6" formatCode="General">
                  <c:v>4.03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585312"/>
        <c:axId val="120658368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GRAFICO!$B$1:$Q$2</c15:sqref>
                        </c15:fullRef>
                        <c15:formulaRef>
                          <c15:sqref>(GRAFICO!$D$1:$D$2,GRAFICO!$F$1:$F$2,GRAFICO!$H$1:$H$2,GRAFICO!$J$1:$J$2,GRAFICO!$L$1:$L$2,GRAFICO!$N$1:$N$2,GRAFICO!$P$1:$P$2)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GRAFICO!$B$5:$Q$5</c15:sqref>
                        </c15:fullRef>
                        <c15:formulaRef>
                          <c15:sqref>(GRAFICO!$D$5,GRAFICO!$F$5,GRAFICO!$H$5,GRAFICO!$J$5,GRAFICO!$L$5,GRAFICO!$N$5,GRAFICO!$P$5)</c15:sqref>
                        </c15:formulaRef>
                      </c:ext>
                    </c:extLst>
                    <c:numCache>
                      <c:formatCode>m/d/yyyy</c:formatCode>
                      <c:ptCount val="7"/>
                      <c:pt idx="0" formatCode="0.00">
                        <c:v>0.3722122336559428</c:v>
                      </c:pt>
                      <c:pt idx="1" formatCode="0.00">
                        <c:v>0.3726441650357899</c:v>
                      </c:pt>
                      <c:pt idx="2" formatCode="0.00">
                        <c:v>0.37086587462217796</c:v>
                      </c:pt>
                      <c:pt idx="3" formatCode="0.00">
                        <c:v>0.37096060878715326</c:v>
                      </c:pt>
                      <c:pt idx="4" formatCode="0.00">
                        <c:v>0.37247868679251062</c:v>
                      </c:pt>
                      <c:pt idx="5" formatCode="0.00">
                        <c:v>0.37350817456996654</c:v>
                      </c:pt>
                      <c:pt idx="6" formatCode="0.00">
                        <c:v>0.37285121971781332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GRAFICO!$B$1:$Q$2</c15:sqref>
                        </c15:fullRef>
                        <c15:formulaRef>
                          <c15:sqref>(GRAFICO!$D$1:$D$2,GRAFICO!$F$1:$F$2,GRAFICO!$H$1:$H$2,GRAFICO!$J$1:$J$2,GRAFICO!$L$1:$L$2,GRAFICO!$N$1:$N$2,GRAFICO!$P$1:$P$2)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GRAFICO!$B$6:$Q$6</c15:sqref>
                        </c15:fullRef>
                        <c15:formulaRef>
                          <c15:sqref>(GRAFICO!$D$6,GRAFICO!$F$6,GRAFICO!$H$6,GRAFICO!$J$6,GRAFICO!$L$6,GRAFICO!$N$6,GRAFICO!$P$6)</c15:sqref>
                        </c15:formulaRef>
                      </c:ext>
                    </c:extLst>
                    <c:numCache>
                      <c:formatCode>m/d/yyyy</c:formatCode>
                      <c:ptCount val="7"/>
                      <c:pt idx="0" formatCode="0.00">
                        <c:v>0.3722122336559428</c:v>
                      </c:pt>
                      <c:pt idx="1" formatCode="0.00">
                        <c:v>0.3726441650357899</c:v>
                      </c:pt>
                      <c:pt idx="2" formatCode="0.00">
                        <c:v>0.37086587462217796</c:v>
                      </c:pt>
                      <c:pt idx="3" formatCode="0.00">
                        <c:v>0.37096060878715326</c:v>
                      </c:pt>
                      <c:pt idx="4" formatCode="0.00">
                        <c:v>0.37247868679251062</c:v>
                      </c:pt>
                      <c:pt idx="5" formatCode="0.00">
                        <c:v>0.37350817456996654</c:v>
                      </c:pt>
                      <c:pt idx="6" formatCode="0.00">
                        <c:v>0.37285121971781332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6585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83680"/>
        <c:crosses val="autoZero"/>
        <c:auto val="1"/>
        <c:lblAlgn val="ctr"/>
        <c:lblOffset val="100"/>
        <c:noMultiLvlLbl val="0"/>
      </c:catAx>
      <c:valAx>
        <c:axId val="120658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58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GRAFICO!$B$1:$Q$2</c15:sqref>
                  </c15:fullRef>
                </c:ext>
              </c:extLst>
              <c:f>(GRAFICO!$E$1:$E$2,GRAFICO!$G$1:$G$2,GRAFICO!$I$1:$I$2,GRAFICO!$K$1:$K$2,GRAFICO!$M$1:$M$2,GRAFICO!$O$1:$O$2,GRAFICO!$Q$1:$Q$2)</c:f>
              <c:multiLvlStrCache>
                <c:ptCount val="7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GRAFICO!$B$5:$Q$5</c15:sqref>
                  </c15:fullRef>
                </c:ext>
              </c:extLst>
              <c:f>(GRAFICO!$E$5,GRAFICO!$G$5,GRAFICO!$I$5,GRAFICO!$K$5,GRAFICO!$M$5,GRAFICO!$O$5,GRAFICO!$Q$5)</c:f>
              <c:numCache>
                <c:formatCode>m/d/yyyy</c:formatCode>
                <c:ptCount val="7"/>
                <c:pt idx="0" formatCode="_(&quot;R$&quot;* #,##0.00_);_(&quot;R$&quot;* \(#,##0.00\);_(&quot;R$&quot;* &quot;-&quot;??_);_(@_)">
                  <c:v>10.876273972602741</c:v>
                </c:pt>
                <c:pt idx="1" formatCode="_(&quot;R$&quot;* #,##0.00_);_(&quot;R$&quot;* \(#,##0.00\);_(&quot;R$&quot;* &quot;-&quot;??_);_(@_)">
                  <c:v>10.956246575342467</c:v>
                </c:pt>
                <c:pt idx="2" formatCode="_(&quot;R$&quot;* #,##0.00_);_(&quot;R$&quot;* \(#,##0.00\);_(&quot;R$&quot;* &quot;-&quot;??_);_(@_)">
                  <c:v>10.716328767123287</c:v>
                </c:pt>
                <c:pt idx="3" formatCode="_(&quot;R$&quot;* #,##0.00_);_(&quot;R$&quot;* \(#,##0.00\);_(&quot;R$&quot;* &quot;-&quot;??_);_(@_)">
                  <c:v>10.742986301369863</c:v>
                </c:pt>
                <c:pt idx="4" formatCode="_(&quot;R$&quot;* #,##0.00_);_(&quot;R$&quot;* \(#,##0.00\);_(&quot;R$&quot;* &quot;-&quot;??_);_(@_)">
                  <c:v>10.982904109589041</c:v>
                </c:pt>
                <c:pt idx="5" formatCode="_(&quot;R$&quot;* #,##0.00_);_(&quot;R$&quot;* \(#,##0.00\);_(&quot;R$&quot;* &quot;-&quot;??_);_(@_)">
                  <c:v>11.142849315068494</c:v>
                </c:pt>
                <c:pt idx="6" formatCode="_(&quot;R$&quot;* #,##0.00_);_(&quot;R$&quot;* \(#,##0.00\);_(&quot;R$&quot;* &quot;-&quot;??_);_(@_)">
                  <c:v>11.062876712328769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GRAFICO!$B$1:$Q$2</c15:sqref>
                  </c15:fullRef>
                </c:ext>
              </c:extLst>
              <c:f>(GRAFICO!$E$1:$E$2,GRAFICO!$G$1:$G$2,GRAFICO!$I$1:$I$2,GRAFICO!$K$1:$K$2,GRAFICO!$M$1:$M$2,GRAFICO!$O$1:$O$2,GRAFICO!$Q$1:$Q$2)</c:f>
              <c:multiLvlStrCache>
                <c:ptCount val="7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GRAFICO!$B$6:$Q$6</c15:sqref>
                  </c15:fullRef>
                </c:ext>
              </c:extLst>
              <c:f>(GRAFICO!$E$6,GRAFICO!$G$6,GRAFICO!$I$6,GRAFICO!$K$6,GRAFICO!$M$6,GRAFICO!$O$6,GRAFICO!$Q$6)</c:f>
              <c:numCache>
                <c:formatCode>m/d/yyyy</c:formatCode>
                <c:ptCount val="7"/>
                <c:pt idx="0" formatCode="_(&quot;R$&quot;* #,##0.00_);_(&quot;R$&quot;* \(#,##0.00\);_(&quot;R$&quot;* &quot;-&quot;??_);_(@_)">
                  <c:v>10.556383561643836</c:v>
                </c:pt>
                <c:pt idx="1" formatCode="_(&quot;R$&quot;* #,##0.00_);_(&quot;R$&quot;* \(#,##0.00\);_(&quot;R$&quot;* &quot;-&quot;??_);_(@_)">
                  <c:v>10.636356164383562</c:v>
                </c:pt>
                <c:pt idx="2" formatCode="_(&quot;R$&quot;* #,##0.00_);_(&quot;R$&quot;* \(#,##0.00\);_(&quot;R$&quot;* &quot;-&quot;??_);_(@_)">
                  <c:v>10.396438356164383</c:v>
                </c:pt>
                <c:pt idx="3" formatCode="_(&quot;R$&quot;* #,##0.00_);_(&quot;R$&quot;* \(#,##0.00\);_(&quot;R$&quot;* &quot;-&quot;??_);_(@_)">
                  <c:v>10.423095890410959</c:v>
                </c:pt>
                <c:pt idx="4" formatCode="_(&quot;R$&quot;* #,##0.00_);_(&quot;R$&quot;* \(#,##0.00\);_(&quot;R$&quot;* &quot;-&quot;??_);_(@_)">
                  <c:v>10.663013698630136</c:v>
                </c:pt>
                <c:pt idx="5" formatCode="_(&quot;R$&quot;* #,##0.00_);_(&quot;R$&quot;* \(#,##0.00\);_(&quot;R$&quot;* &quot;-&quot;??_);_(@_)">
                  <c:v>10.822958904109589</c:v>
                </c:pt>
                <c:pt idx="6" formatCode="_(&quot;R$&quot;* #,##0.00_);_(&quot;R$&quot;* \(#,##0.00\);_(&quot;R$&quot;* &quot;-&quot;??_);_(@_)">
                  <c:v>10.742986301369863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105984"/>
        <c:axId val="1282103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GRAFICO!$B$1:$Q$2</c15:sqref>
                        </c15:fullRef>
                        <c15:formulaRef>
                          <c15:sqref>(GRAFICO!$E$1:$E$2,GRAFICO!$G$1:$G$2,GRAFICO!$I$1:$I$2,GRAFICO!$K$1:$K$2,GRAFICO!$M$1:$M$2,GRAFICO!$O$1:$O$2,GRAFICO!$Q$1:$Q$2)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GRAFICO!$B$3:$Q$3</c15:sqref>
                        </c15:fullRef>
                        <c15:formulaRef>
                          <c15:sqref>(GRAFICO!$E$3,GRAFICO!$G$3,GRAFICO!$I$3,GRAFICO!$K$3,GRAFICO!$M$3,GRAFICO!$O$3,GRAFICO!$Q$3)</c15:sqref>
                        </c15:formulaRef>
                      </c:ext>
                    </c:extLst>
                    <c:numCache>
                      <c:formatCode>m/d/yyyy</c:formatCode>
                      <c:ptCount val="7"/>
                      <c:pt idx="0" formatCode="&quot;R$&quot;#,##0.00_);[Red]\(&quot;R$&quot;#,##0.00\)">
                        <c:v>2614.1</c:v>
                      </c:pt>
                      <c:pt idx="1" formatCode="&quot;R$&quot;#,##0.00_);[Red]\(&quot;R$&quot;#,##0.00\)">
                        <c:v>2611.0700000000002</c:v>
                      </c:pt>
                      <c:pt idx="2" formatCode="&quot;R$&quot;#,##0.00_);[Red]\(&quot;R$&quot;#,##0.00\)">
                        <c:v>2623.59</c:v>
                      </c:pt>
                      <c:pt idx="3" formatCode="&quot;R$&quot;#,##0.00_);[Red]\(&quot;R$&quot;#,##0.00\)">
                        <c:v>2622.92</c:v>
                      </c:pt>
                      <c:pt idx="4" formatCode="&quot;R$&quot;#,##0.00_);[Red]\(&quot;R$&quot;#,##0.00\)">
                        <c:v>2612.23</c:v>
                      </c:pt>
                      <c:pt idx="5" formatCode="&quot;R$&quot;#,##0.00_);[Red]\(&quot;R$&quot;#,##0.00\)">
                        <c:v>2605.0300000000002</c:v>
                      </c:pt>
                      <c:pt idx="6" formatCode="&quot;R$&quot;#,##0.00_);[Red]\(&quot;R$&quot;#,##0.00\)">
                        <c:v>2609.62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GRAFICO!$B$1:$Q$2</c15:sqref>
                        </c15:fullRef>
                        <c15:formulaRef>
                          <c15:sqref>(GRAFICO!$E$1:$E$2,GRAFICO!$G$1:$G$2,GRAFICO!$I$1:$I$2,GRAFICO!$K$1:$K$2,GRAFICO!$M$1:$M$2,GRAFICO!$O$1:$O$2,GRAFICO!$Q$1:$Q$2)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GRAFICO!$B$4:$Q$4</c15:sqref>
                        </c15:fullRef>
                        <c15:formulaRef>
                          <c15:sqref>(GRAFICO!$E$4,GRAFICO!$G$4,GRAFICO!$I$4,GRAFICO!$K$4,GRAFICO!$M$4,GRAFICO!$O$4,GRAFICO!$Q$4)</c15:sqref>
                        </c15:formulaRef>
                      </c:ext>
                    </c:extLst>
                    <c:numCache>
                      <c:formatCode>m/d/yyyy</c:formatCode>
                      <c:ptCount val="7"/>
                      <c:pt idx="0" formatCode="&quot;R$&quot;#,##0.00_);[Red]\(&quot;R$&quot;#,##0.00\)">
                        <c:v>2629.97</c:v>
                      </c:pt>
                      <c:pt idx="1" formatCode="&quot;R$&quot;#,##0.00_);[Red]\(&quot;R$&quot;#,##0.00\)">
                        <c:v>2626.9</c:v>
                      </c:pt>
                      <c:pt idx="2" formatCode="&quot;R$&quot;#,##0.00_);[Red]\(&quot;R$&quot;#,##0.00\)">
                        <c:v>2639.5</c:v>
                      </c:pt>
                      <c:pt idx="3" formatCode="&quot;R$&quot;#,##0.00_);[Red]\(&quot;R$&quot;#,##0.00\)">
                        <c:v>2638.82</c:v>
                      </c:pt>
                      <c:pt idx="4" formatCode="&quot;R$&quot;#,##0.00_);[Red]\(&quot;R$&quot;#,##0.00\)">
                        <c:v>2628.03</c:v>
                      </c:pt>
                      <c:pt idx="5" formatCode="&quot;R$&quot;#,##0.00_);[Red]\(&quot;R$&quot;#,##0.00\)">
                        <c:v>2620.77</c:v>
                      </c:pt>
                      <c:pt idx="6" formatCode="&quot;R$&quot;#,##0.00_);[Red]\(&quot;R$&quot;#,##0.00\)">
                        <c:v>2625.38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82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2103808"/>
        <c:crosses val="autoZero"/>
        <c:auto val="1"/>
        <c:lblAlgn val="ctr"/>
        <c:lblOffset val="100"/>
        <c:noMultiLvlLbl val="0"/>
      </c:catAx>
      <c:valAx>
        <c:axId val="128210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2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7</xdr:row>
      <xdr:rowOff>4762</xdr:rowOff>
    </xdr:from>
    <xdr:to>
      <xdr:col>9</xdr:col>
      <xdr:colOff>1904999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4762</xdr:rowOff>
    </xdr:from>
    <xdr:to>
      <xdr:col>10</xdr:col>
      <xdr:colOff>0</xdr:colOff>
      <xdr:row>37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C3" sqref="C3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9" bestFit="1" customWidth="1"/>
    <col min="4" max="4" width="8.7109375" bestFit="1" customWidth="1"/>
    <col min="5" max="5" width="24.85546875" bestFit="1" customWidth="1"/>
    <col min="6" max="6" width="26.42578125" bestFit="1" customWidth="1"/>
    <col min="7" max="7" width="23.140625" bestFit="1" customWidth="1"/>
    <col min="8" max="8" width="21.4257812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spans="1:8" x14ac:dyDescent="0.25">
      <c r="A2" t="str">
        <f>'[1]020519'!$A$4</f>
        <v>Tesouro IPCA+ 2035</v>
      </c>
      <c r="B2" s="5">
        <v>43587</v>
      </c>
      <c r="C2" s="6">
        <v>401.79</v>
      </c>
      <c r="D2" s="7">
        <v>0.25</v>
      </c>
      <c r="E2" s="8">
        <f>'[1]020519'!$C$4</f>
        <v>4.4400000000000004</v>
      </c>
      <c r="F2" s="6">
        <f>'[1]020519'!$E$4</f>
        <v>1607.16</v>
      </c>
      <c r="G2" s="9">
        <f>'[2]020519'!$C$5</f>
        <v>4.5599999999999996</v>
      </c>
      <c r="H2" s="10" t="e">
        <f>#REF!</f>
        <v>#REF!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"/>
  <sheetViews>
    <sheetView tabSelected="1" workbookViewId="0">
      <selection activeCell="L12" sqref="L12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</cols>
  <sheetData>
    <row r="1" spans="1:35" s="11" customFormat="1" ht="15.75" customHeight="1" x14ac:dyDescent="0.25">
      <c r="A1" s="23"/>
      <c r="B1" s="12" t="s">
        <v>8</v>
      </c>
      <c r="C1" s="13" t="s">
        <v>9</v>
      </c>
      <c r="D1" s="14" t="s">
        <v>10</v>
      </c>
      <c r="E1" s="14" t="s">
        <v>11</v>
      </c>
      <c r="F1" s="14" t="s">
        <v>10</v>
      </c>
      <c r="G1" s="14" t="s">
        <v>11</v>
      </c>
      <c r="H1" s="14" t="s">
        <v>10</v>
      </c>
      <c r="I1" s="14" t="s">
        <v>11</v>
      </c>
      <c r="J1" s="14" t="s">
        <v>10</v>
      </c>
      <c r="K1" s="14" t="s">
        <v>11</v>
      </c>
      <c r="L1" s="14" t="s">
        <v>10</v>
      </c>
      <c r="M1" s="14" t="s">
        <v>11</v>
      </c>
      <c r="N1" s="14" t="s">
        <v>10</v>
      </c>
      <c r="O1" s="14" t="s">
        <v>11</v>
      </c>
      <c r="P1" s="41" t="s">
        <v>10</v>
      </c>
      <c r="Q1" s="41" t="s">
        <v>11</v>
      </c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</row>
    <row r="2" spans="1:35" s="11" customFormat="1" ht="15.75" customHeight="1" x14ac:dyDescent="0.25">
      <c r="A2" s="23"/>
      <c r="B2" s="15" t="s">
        <v>12</v>
      </c>
      <c r="C2" s="30"/>
      <c r="D2" s="16">
        <v>43598</v>
      </c>
      <c r="E2" s="17">
        <v>43598</v>
      </c>
      <c r="F2" s="16">
        <v>43599</v>
      </c>
      <c r="G2" s="17">
        <v>43599</v>
      </c>
      <c r="H2" s="16">
        <v>43600</v>
      </c>
      <c r="I2" s="17">
        <v>43600</v>
      </c>
      <c r="J2" s="16">
        <v>43601</v>
      </c>
      <c r="K2" s="17">
        <v>43601</v>
      </c>
      <c r="L2" s="16">
        <v>43602</v>
      </c>
      <c r="M2" s="17">
        <v>43602</v>
      </c>
      <c r="N2" s="18">
        <v>43605</v>
      </c>
      <c r="O2" s="18">
        <v>43605</v>
      </c>
      <c r="P2" s="16">
        <v>43606</v>
      </c>
      <c r="Q2" s="17">
        <v>43606</v>
      </c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</row>
    <row r="3" spans="1:35" s="20" customFormat="1" ht="16.5" customHeight="1" x14ac:dyDescent="0.25">
      <c r="A3" s="19" t="s">
        <v>13</v>
      </c>
      <c r="B3" s="31" t="s">
        <v>17</v>
      </c>
      <c r="C3" s="26">
        <v>45519</v>
      </c>
      <c r="D3" s="21">
        <v>4.08</v>
      </c>
      <c r="E3" s="22">
        <v>2614.1</v>
      </c>
      <c r="F3" s="21">
        <v>4.1100000000000003</v>
      </c>
      <c r="G3" s="22">
        <v>2611.0700000000002</v>
      </c>
      <c r="H3" s="21">
        <v>4.0199999999999996</v>
      </c>
      <c r="I3" s="22">
        <v>2623.59</v>
      </c>
      <c r="J3" s="21">
        <v>4.03</v>
      </c>
      <c r="K3" s="22">
        <v>2622.92</v>
      </c>
      <c r="L3" s="21">
        <v>4.12</v>
      </c>
      <c r="M3" s="22">
        <v>2612.23</v>
      </c>
      <c r="N3" s="29">
        <v>4.18</v>
      </c>
      <c r="O3" s="27">
        <v>2605.0300000000002</v>
      </c>
      <c r="P3" s="21">
        <v>4.1500000000000004</v>
      </c>
      <c r="Q3" s="22">
        <v>2609.62</v>
      </c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</row>
    <row r="4" spans="1:35" s="23" customFormat="1" ht="15.75" customHeight="1" x14ac:dyDescent="0.25">
      <c r="A4" s="19" t="s">
        <v>14</v>
      </c>
      <c r="B4" s="40" t="s">
        <v>17</v>
      </c>
      <c r="C4" s="28">
        <v>45519</v>
      </c>
      <c r="D4" s="38">
        <v>3.96</v>
      </c>
      <c r="E4" s="34">
        <v>2629.97</v>
      </c>
      <c r="F4" s="38">
        <v>3.99</v>
      </c>
      <c r="G4" s="34">
        <v>2626.9</v>
      </c>
      <c r="H4" s="38">
        <v>3.9</v>
      </c>
      <c r="I4" s="34">
        <v>2639.5</v>
      </c>
      <c r="J4" s="38">
        <v>3.91</v>
      </c>
      <c r="K4" s="34">
        <v>2638.82</v>
      </c>
      <c r="L4" s="38">
        <v>4</v>
      </c>
      <c r="M4" s="34">
        <v>2628.03</v>
      </c>
      <c r="N4" s="32">
        <v>4.0599999999999996</v>
      </c>
      <c r="O4" s="33">
        <v>2620.77</v>
      </c>
      <c r="P4" s="38">
        <v>4.03</v>
      </c>
      <c r="Q4" s="34">
        <v>2625.38</v>
      </c>
    </row>
    <row r="5" spans="1:35" s="25" customFormat="1" x14ac:dyDescent="0.25">
      <c r="A5" s="24" t="s">
        <v>15</v>
      </c>
      <c r="B5" s="35">
        <v>973</v>
      </c>
      <c r="C5" s="36">
        <v>43598</v>
      </c>
      <c r="D5" s="37">
        <f>$B$5/E3</f>
        <v>0.3722122336559428</v>
      </c>
      <c r="E5" s="39">
        <f>(D3/365)*$B$5</f>
        <v>10.876273972602741</v>
      </c>
      <c r="F5" s="37">
        <f t="shared" ref="F5:O5" si="0">$B$5/G3</f>
        <v>0.3726441650357899</v>
      </c>
      <c r="G5" s="39">
        <f t="shared" ref="G5:O5" si="1">(F3/365)*$B$5</f>
        <v>10.956246575342467</v>
      </c>
      <c r="H5" s="37">
        <f t="shared" ref="H5:O5" si="2">$B$5/I3</f>
        <v>0.37086587462217796</v>
      </c>
      <c r="I5" s="39">
        <f t="shared" ref="I5:O5" si="3">(H3/365)*$B$5</f>
        <v>10.716328767123287</v>
      </c>
      <c r="J5" s="37">
        <f t="shared" ref="J5:O5" si="4">$B$5/K3</f>
        <v>0.37096060878715326</v>
      </c>
      <c r="K5" s="39">
        <f t="shared" ref="K5:O5" si="5">(J3/365)*$B$5</f>
        <v>10.742986301369863</v>
      </c>
      <c r="L5" s="37">
        <f t="shared" ref="L5:O5" si="6">$B$5/M3</f>
        <v>0.37247868679251062</v>
      </c>
      <c r="M5" s="39">
        <f t="shared" ref="M5:O5" si="7">(L3/365)*$B$5</f>
        <v>10.982904109589041</v>
      </c>
      <c r="N5" s="37">
        <f t="shared" ref="N5:O5" si="8">$B$5/O3</f>
        <v>0.37350817456996654</v>
      </c>
      <c r="O5" s="39">
        <f t="shared" ref="O5:Q5" si="9">(N3/365)*$B$5</f>
        <v>11.142849315068494</v>
      </c>
      <c r="P5" s="42">
        <f t="shared" ref="P5:Q5" si="10">$B$5/Q3</f>
        <v>0.37285121971781332</v>
      </c>
      <c r="Q5" s="43">
        <f t="shared" si="9"/>
        <v>11.062876712328769</v>
      </c>
    </row>
    <row r="6" spans="1:35" x14ac:dyDescent="0.25">
      <c r="A6" s="24" t="s">
        <v>16</v>
      </c>
      <c r="B6" s="35">
        <v>973</v>
      </c>
      <c r="C6" s="36">
        <v>43598</v>
      </c>
      <c r="D6" s="37">
        <f>$B$6/E3</f>
        <v>0.3722122336559428</v>
      </c>
      <c r="E6" s="39">
        <f>(D$4/365)*$B$6</f>
        <v>10.556383561643836</v>
      </c>
      <c r="F6" s="37">
        <f t="shared" ref="F6:Q6" si="11">$B$6/G3</f>
        <v>0.3726441650357899</v>
      </c>
      <c r="G6" s="39">
        <f t="shared" ref="G6:Q6" si="12">(F$4/365)*$B$6</f>
        <v>10.636356164383562</v>
      </c>
      <c r="H6" s="37">
        <f t="shared" ref="H6:Q6" si="13">$B$6/I3</f>
        <v>0.37086587462217796</v>
      </c>
      <c r="I6" s="39">
        <f t="shared" ref="I6:Q6" si="14">(H$4/365)*$B$6</f>
        <v>10.396438356164383</v>
      </c>
      <c r="J6" s="37">
        <f t="shared" ref="J6:Q6" si="15">$B$6/K3</f>
        <v>0.37096060878715326</v>
      </c>
      <c r="K6" s="39">
        <f t="shared" ref="K6:Q6" si="16">(J$4/365)*$B$6</f>
        <v>10.423095890410959</v>
      </c>
      <c r="L6" s="37">
        <f t="shared" ref="L6:Q6" si="17">$B$6/M3</f>
        <v>0.37247868679251062</v>
      </c>
      <c r="M6" s="39">
        <f t="shared" ref="M6:Q6" si="18">(L$4/365)*$B$6</f>
        <v>10.663013698630136</v>
      </c>
      <c r="N6" s="37">
        <f t="shared" ref="N6:Q6" si="19">$B$6/O3</f>
        <v>0.37350817456996654</v>
      </c>
      <c r="O6" s="39">
        <f t="shared" ref="O6:Q6" si="20">(N$4/365)*$B$6</f>
        <v>10.822958904109589</v>
      </c>
      <c r="P6" s="37">
        <f t="shared" ref="P6:Q6" si="21">$B$6/Q3</f>
        <v>0.37285121971781332</v>
      </c>
      <c r="Q6" s="39">
        <f t="shared" ref="Q6" si="22">(P$4/365)*$B$6</f>
        <v>10.742986301369863</v>
      </c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130519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2019-05-21T13:29:50Z</dcterms:modified>
</cp:coreProperties>
</file>