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130519" sheetId="1" r:id="rId1"/>
    <sheet name="GRAFICO" sheetId="2" r:id="rId2"/>
  </sheets>
  <externalReferences>
    <externalReference r:id="rId3"/>
    <externalReference r:id="rId4"/>
    <externalReference r:id="rId5"/>
  </externalReferences>
  <calcPr calcId="152511"/>
</workbook>
</file>

<file path=xl/calcChain.xml><?xml version="1.0" encoding="utf-8"?>
<calcChain xmlns="http://schemas.openxmlformats.org/spreadsheetml/2006/main">
  <c r="B6" i="2" l="1"/>
  <c r="B5" i="2"/>
  <c r="AF5" i="2" l="1"/>
  <c r="AF6" i="2"/>
  <c r="AD6" i="2" l="1"/>
  <c r="AB6" i="2" l="1"/>
  <c r="Z6" i="2" l="1"/>
  <c r="X6" i="2" l="1"/>
  <c r="V6" i="2" l="1"/>
  <c r="T6" i="2" l="1"/>
  <c r="H6" i="2" l="1"/>
  <c r="J6" i="2"/>
  <c r="L6" i="2"/>
  <c r="N6" i="2"/>
  <c r="P6" i="2"/>
  <c r="R6" i="2"/>
  <c r="F6" i="2"/>
  <c r="E6" i="2"/>
  <c r="G6" i="2" s="1"/>
  <c r="I6" i="2" s="1"/>
  <c r="K6" i="2" s="1"/>
  <c r="M6" i="2" s="1"/>
  <c r="O6" i="2" s="1"/>
  <c r="Q6" i="2" s="1"/>
  <c r="S6" i="2" s="1"/>
  <c r="U6" i="2" s="1"/>
  <c r="W6" i="2" s="1"/>
  <c r="Y6" i="2" s="1"/>
  <c r="AA6" i="2" s="1"/>
  <c r="AC6" i="2" s="1"/>
  <c r="AE6" i="2" s="1"/>
  <c r="AG6" i="2" s="1"/>
  <c r="AH6" i="2" s="1"/>
  <c r="E5" i="2"/>
  <c r="G5" i="2" s="1"/>
  <c r="I5" i="2" s="1"/>
  <c r="K5" i="2" s="1"/>
  <c r="M5" i="2" s="1"/>
  <c r="O5" i="2" s="1"/>
  <c r="Q5" i="2" s="1"/>
  <c r="S5" i="2" s="1"/>
  <c r="U5" i="2" s="1"/>
  <c r="D6" i="2"/>
  <c r="F2" i="1"/>
  <c r="C2" i="1"/>
  <c r="D2" i="1" s="1"/>
  <c r="H2" i="1"/>
  <c r="W5" i="2" l="1"/>
  <c r="Y5" i="2" s="1"/>
  <c r="AA5" i="2" s="1"/>
  <c r="AC5" i="2" s="1"/>
  <c r="AE5" i="2" s="1"/>
  <c r="AG5" i="2" s="1"/>
  <c r="AH5" i="2" s="1"/>
  <c r="AH7" i="2" s="1"/>
  <c r="F7" i="1"/>
  <c r="E7" i="1"/>
  <c r="C7" i="1"/>
  <c r="D7" i="1"/>
  <c r="G2" i="1"/>
  <c r="H7" i="1" s="1"/>
  <c r="E2" i="1"/>
  <c r="G7" i="1" s="1"/>
  <c r="A2" i="1"/>
  <c r="AD5" i="2" l="1"/>
  <c r="AB5" i="2"/>
  <c r="Z5" i="2"/>
  <c r="X5" i="2"/>
  <c r="V5" i="2"/>
  <c r="T5" i="2"/>
  <c r="F5" i="2"/>
  <c r="H5" i="2"/>
  <c r="L5" i="2"/>
  <c r="P5" i="2"/>
  <c r="J5" i="2"/>
  <c r="N5" i="2"/>
  <c r="R5" i="2"/>
  <c r="D5" i="2"/>
</calcChain>
</file>

<file path=xl/sharedStrings.xml><?xml version="1.0" encoding="utf-8"?>
<sst xmlns="http://schemas.openxmlformats.org/spreadsheetml/2006/main" count="56" uniqueCount="26">
  <si>
    <t>TÍTULO COMPRADO</t>
  </si>
  <si>
    <t>DATA COMPRA</t>
  </si>
  <si>
    <t>VALOR COMPRADO</t>
  </si>
  <si>
    <t>FRAÇÃO</t>
  </si>
  <si>
    <t>TAXA JUROS COMPRA (%)</t>
  </si>
  <si>
    <t>VALOR TITULO NA COMPRA</t>
  </si>
  <si>
    <t>TAXA JUROS VENDA (%)</t>
  </si>
  <si>
    <t>VALOR TITULO VENDA</t>
  </si>
  <si>
    <t>Título</t>
  </si>
  <si>
    <t>Vencimento</t>
  </si>
  <si>
    <t>Taxa de Rendimento (% a.a.)</t>
  </si>
  <si>
    <t>Preço Unitário</t>
  </si>
  <si>
    <t>Dia/Mês</t>
  </si>
  <si>
    <t>VENDA</t>
  </si>
  <si>
    <t>COMPRA</t>
  </si>
  <si>
    <t>TITULO VENDA</t>
  </si>
  <si>
    <t>TITULO COMPRA</t>
  </si>
  <si>
    <t>Tesouro IPCA+ 2024</t>
  </si>
  <si>
    <t>Tesouro IPCA+</t>
  </si>
  <si>
    <t>Títulos</t>
  </si>
  <si>
    <t>Últ. 30 dias</t>
  </si>
  <si>
    <t>No ano</t>
  </si>
  <si>
    <t>12 meses</t>
  </si>
  <si>
    <t>Compra</t>
  </si>
  <si>
    <t>Venda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</si>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</sst>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#,##0.00;[Red]\-&quot;R$&quot;#,##0.00"/>
    <numFmt numFmtId="4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B2B2B2"/>
        <bgColor indexed="64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1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Border="1" applyAlignment="1"/>
    <xf numFmtId="8" fontId="2" fillId="0" borderId="0" xfId="0" applyNumberFormat="1" applyFont="1" applyBorder="1" applyAlignment="1">
      <alignment horizontal="right"/>
    </xf>
    <xf numFmtId="0" fontId="2" fillId="0" borderId="0" xfId="1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8" fontId="0" fillId="0" borderId="0" xfId="0" applyNumberFormat="1"/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0" fontId="4" fillId="4" borderId="2" xfId="0" applyFont="1" applyFill="1" applyBorder="1" applyAlignment="1">
      <alignment horizontal="left"/>
    </xf>
    <xf numFmtId="16" fontId="4" fillId="5" borderId="2" xfId="0" applyNumberFormat="1" applyFont="1" applyFill="1" applyBorder="1" applyAlignment="1">
      <alignment horizontal="center" wrapText="1"/>
    </xf>
    <xf numFmtId="16" fontId="4" fillId="5" borderId="3" xfId="0" applyNumberFormat="1" applyFont="1" applyFill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 wrapText="1"/>
    </xf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1" xfId="0" applyBorder="1"/>
    <xf numFmtId="0" fontId="0" fillId="0" borderId="0" xfId="0" applyBorder="1"/>
    <xf numFmtId="14" fontId="4" fillId="4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8" fontId="4" fillId="5" borderId="7" xfId="0" applyNumberFormat="1" applyFont="1" applyFill="1" applyBorder="1" applyAlignment="1">
      <alignment horizontal="center" vertical="center"/>
    </xf>
    <xf numFmtId="8" fontId="4" fillId="5" borderId="8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/>
    <xf numFmtId="2" fontId="0" fillId="0" borderId="1" xfId="0" applyNumberFormat="1" applyBorder="1"/>
    <xf numFmtId="0" fontId="4" fillId="5" borderId="6" xfId="0" applyFont="1" applyFill="1" applyBorder="1" applyAlignment="1">
      <alignment horizontal="center" vertical="center"/>
    </xf>
    <xf numFmtId="44" fontId="0" fillId="0" borderId="1" xfId="2" applyFont="1" applyBorder="1"/>
    <xf numFmtId="0" fontId="3" fillId="3" borderId="5" xfId="0" applyFont="1" applyFill="1" applyBorder="1" applyAlignment="1">
      <alignment wrapText="1"/>
    </xf>
    <xf numFmtId="2" fontId="2" fillId="0" borderId="0" xfId="0" applyNumberFormat="1" applyFont="1" applyBorder="1" applyAlignment="1">
      <alignment horizontal="right"/>
    </xf>
    <xf numFmtId="2" fontId="0" fillId="0" borderId="0" xfId="0" applyNumberFormat="1" applyFont="1" applyBorder="1" applyAlignment="1"/>
    <xf numFmtId="0" fontId="3" fillId="3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vertical="center"/>
    </xf>
    <xf numFmtId="8" fontId="4" fillId="5" borderId="3" xfId="0" applyNumberFormat="1" applyFont="1" applyFill="1" applyBorder="1" applyAlignment="1">
      <alignment horizontal="center" vertical="center"/>
    </xf>
    <xf numFmtId="2" fontId="0" fillId="0" borderId="9" xfId="0" applyNumberFormat="1" applyBorder="1"/>
    <xf numFmtId="44" fontId="0" fillId="0" borderId="9" xfId="2" applyFont="1" applyBorder="1"/>
    <xf numFmtId="0" fontId="4" fillId="5" borderId="4" xfId="0" applyFont="1" applyFill="1" applyBorder="1" applyAlignment="1">
      <alignment horizontal="center" vertical="center"/>
    </xf>
    <xf numFmtId="8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wrapText="1"/>
    </xf>
    <xf numFmtId="14" fontId="4" fillId="5" borderId="3" xfId="0" applyNumberFormat="1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left"/>
    </xf>
    <xf numFmtId="14" fontId="4" fillId="4" borderId="8" xfId="0" applyNumberFormat="1" applyFont="1" applyFill="1" applyBorder="1" applyAlignment="1">
      <alignment horizontal="center"/>
    </xf>
    <xf numFmtId="14" fontId="0" fillId="0" borderId="0" xfId="0" applyNumberFormat="1"/>
    <xf numFmtId="44" fontId="0" fillId="0" borderId="0" xfId="0" applyNumberFormat="1" applyBorder="1"/>
    <xf numFmtId="44" fontId="0" fillId="0" borderId="0" xfId="0" applyNumberFormat="1"/>
    <xf numFmtId="44" fontId="0" fillId="0" borderId="1" xfId="0" applyNumberFormat="1" applyBorder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GRAFICO!$A$3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/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GRAFICO!$B$3:$AG$3</c15:sqref>
                  </c15:fullRef>
                </c:ext>
              </c:extLst>
              <c:f>(GRAFICO!$D$3,GRAFICO!$F$3,GRAFICO!$H$3,GRAFICO!$J$3,GRAFICO!$L$3,GRAFICO!$N$3,GRAFICO!$P$3,GRAFICO!$R$3,GRAFICO!$T$3,GRAFICO!$V$3,GRAFICO!$X$3,GRAFICO!$Z$3,GRAFICO!$AB$3,GRAFICO!$AD$3,GRAFICO!$AF$3)</c:f>
              <c:numCache>
                <c:formatCode>m/d/yyyy</c:formatCode>
                <c:ptCount val="15"/>
              </c:numCache>
            </c:numRef>
          </c:val>
          <c:smooth val="0"/>
        </c:ser>
        <c:ser>
          <c:idx val="1"/>
          <c:order val="1"/>
          <c:tx>
            <c:strRef>
              <c:f>GRAFICO!$A$4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/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GRAFICO!$B$4:$AG$4</c15:sqref>
                  </c15:fullRef>
                </c:ext>
              </c:extLst>
              <c:f>(GRAFICO!$D$4,GRAFICO!$F$4,GRAFICO!$H$4,GRAFICO!$J$4,GRAFICO!$L$4,GRAFICO!$N$4,GRAFICO!$P$4,GRAFICO!$R$4,GRAFICO!$T$4,GRAFICO!$V$4,GRAFICO!$X$4,GRAFICO!$Z$4,GRAFICO!$AB$4,GRAFICO!$AD$4,GRAFICO!$AF$4)</c:f>
              <c:numCache>
                <c:formatCode>m/d/yyyy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38959552"/>
        <c:axId val="-43896771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GRAFICO!$B$5:$AG$5</c15:sqref>
                        </c15:fullRef>
                        <c15:formulaRef>
                          <c15:sqref>(GRAFICO!$D$5,GRAFICO!$F$5,GRAFICO!$H$5,GRAFICO!$J$5,GRAFICO!$L$5,GRAFICO!$N$5,GRAFICO!$P$5,GRAFICO!$R$5,GRAFICO!$T$5,GRAFICO!$V$5,GRAFICO!$X$5,GRAFICO!$Z$5,GRAFICO!$AB$5,GRAFICO!$AD$5,GRAFICO!$AF$5)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0.00">
                        <c:v>0</c:v>
                      </c:pt>
                      <c:pt idx="1" formatCode="0.00">
                        <c:v>0</c:v>
                      </c:pt>
                      <c:pt idx="2" formatCode="0.00">
                        <c:v>0</c:v>
                      </c:pt>
                      <c:pt idx="3" formatCode="0.00">
                        <c:v>0</c:v>
                      </c:pt>
                      <c:pt idx="4" formatCode="0.00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 formatCode="0.00">
                        <c:v>0</c:v>
                      </c:pt>
                      <c:pt idx="11" formatCode="0.00">
                        <c:v>0</c:v>
                      </c:pt>
                      <c:pt idx="12" formatCode="0.00">
                        <c:v>0</c:v>
                      </c:pt>
                      <c:pt idx="13" formatCode="0.00">
                        <c:v>0</c:v>
                      </c:pt>
                      <c:pt idx="14" formatCode="0.0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GRAFICO!$B$6:$AG$6</c15:sqref>
                        </c15:fullRef>
                        <c15:formulaRef>
                          <c15:sqref>(GRAFICO!$D$6,GRAFICO!$F$6,GRAFICO!$H$6,GRAFICO!$J$6,GRAFICO!$L$6,GRAFICO!$N$6,GRAFICO!$P$6,GRAFICO!$R$6,GRAFICO!$T$6,GRAFICO!$V$6,GRAFICO!$X$6,GRAFICO!$Z$6,GRAFICO!$AB$6,GRAFICO!$AD$6,GRAFICO!$AF$6)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0.00">
                        <c:v>0</c:v>
                      </c:pt>
                      <c:pt idx="1" formatCode="0.00">
                        <c:v>0</c:v>
                      </c:pt>
                      <c:pt idx="2" formatCode="0.00">
                        <c:v>0</c:v>
                      </c:pt>
                      <c:pt idx="3" formatCode="0.00">
                        <c:v>0</c:v>
                      </c:pt>
                      <c:pt idx="4" formatCode="0.00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 formatCode="0.00">
                        <c:v>0</c:v>
                      </c:pt>
                      <c:pt idx="11" formatCode="0.00">
                        <c:v>0</c:v>
                      </c:pt>
                      <c:pt idx="12" formatCode="0.00">
                        <c:v>0</c:v>
                      </c:pt>
                      <c:pt idx="13" formatCode="0.00">
                        <c:v>0</c:v>
                      </c:pt>
                      <c:pt idx="14" formatCode="0.00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4389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67712"/>
        <c:crosses val="autoZero"/>
        <c:auto val="1"/>
        <c:lblAlgn val="ctr"/>
        <c:lblOffset val="100"/>
        <c:noMultiLvlLbl val="0"/>
      </c:catAx>
      <c:valAx>
        <c:axId val="-4389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GRAFICO!$A$3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/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GRAFICO!$B$3:$AG$3</c15:sqref>
                  </c15:fullRef>
                </c:ext>
              </c:extLst>
              <c:f>(GRAFICO!$E$3,GRAFICO!$G$3,GRAFICO!$I$3,GRAFICO!$K$3,GRAFICO!$M$3,GRAFICO!$O$3,GRAFICO!$Q$3,GRAFICO!$S$3,GRAFICO!$U$3,GRAFICO!$W$3,GRAFICO!$Y$3,GRAFICO!$AA$3,GRAFICO!$AC$3,GRAFICO!$AE$3,GRAFICO!$AG$3)</c:f>
              <c:numCache>
                <c:formatCode>m/d/yyyy</c:formatCode>
                <c:ptCount val="15"/>
              </c:numCache>
            </c:numRef>
          </c:val>
          <c:smooth val="0"/>
        </c:ser>
        <c:ser>
          <c:idx val="1"/>
          <c:order val="1"/>
          <c:tx>
            <c:strRef>
              <c:f>GRAFICO!$A$4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/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GRAFICO!$B$4:$AG$4</c15:sqref>
                  </c15:fullRef>
                </c:ext>
              </c:extLst>
              <c:f>(GRAFICO!$E$4,GRAFICO!$G$4,GRAFICO!$I$4,GRAFICO!$K$4,GRAFICO!$M$4,GRAFICO!$O$4,GRAFICO!$Q$4,GRAFICO!$S$4,GRAFICO!$U$4,GRAFICO!$W$4,GRAFICO!$Y$4,GRAFICO!$AA$4,GRAFICO!$AC$4,GRAFICO!$AE$4,GRAFICO!$AG$4)</c:f>
              <c:numCache>
                <c:formatCode>m/d/yyyy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38957920"/>
        <c:axId val="-438968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GRAFICO!$B$5:$AG$5</c15:sqref>
                        </c15:fullRef>
                        <c15:formulaRef>
                          <c15:sqref>(GRAFICO!$E$5,GRAFICO!$G$5,GRAFICO!$I$5,GRAFICO!$K$5,GRAFICO!$M$5,GRAFICO!$O$5,GRAFICO!$Q$5,GRAFICO!$S$5,GRAFICO!$U$5,GRAFICO!$W$5,GRAFICO!$Y$5,GRAFICO!$AA$5,GRAFICO!$AC$5,GRAFICO!$AE$5,GRAFICO!$AG$5)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_(&quot;R$&quot;* #,##0.00_);_(&quot;R$&quot;* \(#,##0.00\);_(&quot;R$&quot;* &quot;-&quot;??_);_(@_)">
                        <c:v>0</c:v>
                      </c:pt>
                      <c:pt idx="1" formatCode="_(&quot;R$&quot;* #,##0.00_);_(&quot;R$&quot;* \(#,##0.00\);_(&quot;R$&quot;* &quot;-&quot;??_);_(@_)">
                        <c:v>0</c:v>
                      </c:pt>
                      <c:pt idx="2" formatCode="_(&quot;R$&quot;* #,##0.00_);_(&quot;R$&quot;* \(#,##0.00\);_(&quot;R$&quot;* &quot;-&quot;??_);_(@_)">
                        <c:v>0</c:v>
                      </c:pt>
                      <c:pt idx="3" formatCode="_(&quot;R$&quot;* #,##0.00_);_(&quot;R$&quot;* \(#,##0.00\);_(&quot;R$&quot;* &quot;-&quot;??_);_(@_)">
                        <c:v>0</c:v>
                      </c:pt>
                      <c:pt idx="4" formatCode="_(&quot;R$&quot;* #,##0.00_);_(&quot;R$&quot;* \(#,##0.00\);_(&quot;R$&quot;* &quot;-&quot;??_);_(@_)">
                        <c:v>0</c:v>
                      </c:pt>
                      <c:pt idx="5" formatCode="_(&quot;R$&quot;* #,##0.00_);_(&quot;R$&quot;* \(#,##0.00\);_(&quot;R$&quot;* &quot;-&quot;??_);_(@_)">
                        <c:v>0</c:v>
                      </c:pt>
                      <c:pt idx="6" formatCode="_(&quot;R$&quot;* #,##0.00_);_(&quot;R$&quot;* \(#,##0.00\);_(&quot;R$&quot;* &quot;-&quot;??_);_(@_)">
                        <c:v>0</c:v>
                      </c:pt>
                      <c:pt idx="7" formatCode="_(&quot;R$&quot;* #,##0.00_);_(&quot;R$&quot;* \(#,##0.00\);_(&quot;R$&quot;* &quot;-&quot;??_);_(@_)">
                        <c:v>0</c:v>
                      </c:pt>
                      <c:pt idx="8" formatCode="_(&quot;R$&quot;* #,##0.00_);_(&quot;R$&quot;* \(#,##0.00\);_(&quot;R$&quot;* &quot;-&quot;??_);_(@_)">
                        <c:v>0</c:v>
                      </c:pt>
                      <c:pt idx="9" formatCode="_(&quot;R$&quot;* #,##0.00_);_(&quot;R$&quot;* \(#,##0.00\);_(&quot;R$&quot;* &quot;-&quot;??_);_(@_)">
                        <c:v>0</c:v>
                      </c:pt>
                      <c:pt idx="10" formatCode="_(&quot;R$&quot;* #,##0.00_);_(&quot;R$&quot;* \(#,##0.00\);_(&quot;R$&quot;* &quot;-&quot;??_);_(@_)">
                        <c:v>0</c:v>
                      </c:pt>
                      <c:pt idx="11" formatCode="_(&quot;R$&quot;* #,##0.00_);_(&quot;R$&quot;* \(#,##0.00\);_(&quot;R$&quot;* &quot;-&quot;??_);_(@_)">
                        <c:v>0</c:v>
                      </c:pt>
                      <c:pt idx="12" formatCode="_(&quot;R$&quot;* #,##0.00_);_(&quot;R$&quot;* \(#,##0.00\);_(&quot;R$&quot;* &quot;-&quot;??_);_(@_)">
                        <c:v>0</c:v>
                      </c:pt>
                      <c:pt idx="13" formatCode="_(&quot;R$&quot;* #,##0.00_);_(&quot;R$&quot;* \(#,##0.00\);_(&quot;R$&quot;* &quot;-&quot;??_);_(@_)">
                        <c:v>0</c:v>
                      </c:pt>
                      <c:pt idx="14" formatCode="_(&quot;R$&quot;* #,##0.00_);_(&quot;R$&quot;* \(#,##0.00\);_(&quot;R$&quot;* &quot;-&quot;??_);_(@_)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GRAFICO!$B$6:$AG$6</c15:sqref>
                        </c15:fullRef>
                        <c15:formulaRef>
                          <c15:sqref>(GRAFICO!$E$6,GRAFICO!$G$6,GRAFICO!$I$6,GRAFICO!$K$6,GRAFICO!$M$6,GRAFICO!$O$6,GRAFICO!$Q$6,GRAFICO!$S$6,GRAFICO!$U$6,GRAFICO!$W$6,GRAFICO!$Y$6,GRAFICO!$AA$6,GRAFICO!$AC$6,GRAFICO!$AE$6,GRAFICO!$AG$6)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_(&quot;R$&quot;* #,##0.00_);_(&quot;R$&quot;* \(#,##0.00\);_(&quot;R$&quot;* &quot;-&quot;??_);_(@_)">
                        <c:v>0</c:v>
                      </c:pt>
                      <c:pt idx="1" formatCode="_(&quot;R$&quot;* #,##0.00_);_(&quot;R$&quot;* \(#,##0.00\);_(&quot;R$&quot;* &quot;-&quot;??_);_(@_)">
                        <c:v>0</c:v>
                      </c:pt>
                      <c:pt idx="2" formatCode="_(&quot;R$&quot;* #,##0.00_);_(&quot;R$&quot;* \(#,##0.00\);_(&quot;R$&quot;* &quot;-&quot;??_);_(@_)">
                        <c:v>0</c:v>
                      </c:pt>
                      <c:pt idx="3" formatCode="_(&quot;R$&quot;* #,##0.00_);_(&quot;R$&quot;* \(#,##0.00\);_(&quot;R$&quot;* &quot;-&quot;??_);_(@_)">
                        <c:v>0</c:v>
                      </c:pt>
                      <c:pt idx="4" formatCode="_(&quot;R$&quot;* #,##0.00_);_(&quot;R$&quot;* \(#,##0.00\);_(&quot;R$&quot;* &quot;-&quot;??_);_(@_)">
                        <c:v>0</c:v>
                      </c:pt>
                      <c:pt idx="5" formatCode="_(&quot;R$&quot;* #,##0.00_);_(&quot;R$&quot;* \(#,##0.00\);_(&quot;R$&quot;* &quot;-&quot;??_);_(@_)">
                        <c:v>0</c:v>
                      </c:pt>
                      <c:pt idx="6" formatCode="_(&quot;R$&quot;* #,##0.00_);_(&quot;R$&quot;* \(#,##0.00\);_(&quot;R$&quot;* &quot;-&quot;??_);_(@_)">
                        <c:v>0</c:v>
                      </c:pt>
                      <c:pt idx="7" formatCode="_(&quot;R$&quot;* #,##0.00_);_(&quot;R$&quot;* \(#,##0.00\);_(&quot;R$&quot;* &quot;-&quot;??_);_(@_)">
                        <c:v>0</c:v>
                      </c:pt>
                      <c:pt idx="8" formatCode="_(&quot;R$&quot;* #,##0.00_);_(&quot;R$&quot;* \(#,##0.00\);_(&quot;R$&quot;* &quot;-&quot;??_);_(@_)">
                        <c:v>0</c:v>
                      </c:pt>
                      <c:pt idx="9" formatCode="_(&quot;R$&quot;* #,##0.00_);_(&quot;R$&quot;* \(#,##0.00\);_(&quot;R$&quot;* &quot;-&quot;??_);_(@_)">
                        <c:v>0</c:v>
                      </c:pt>
                      <c:pt idx="10" formatCode="_(&quot;R$&quot;* #,##0.00_);_(&quot;R$&quot;* \(#,##0.00\);_(&quot;R$&quot;* &quot;-&quot;??_);_(@_)">
                        <c:v>0</c:v>
                      </c:pt>
                      <c:pt idx="11" formatCode="_(&quot;R$&quot;* #,##0.00_);_(&quot;R$&quot;* \(#,##0.00\);_(&quot;R$&quot;* &quot;-&quot;??_);_(@_)">
                        <c:v>0</c:v>
                      </c:pt>
                      <c:pt idx="12" formatCode="_(&quot;R$&quot;* #,##0.00_);_(&quot;R$&quot;* \(#,##0.00\);_(&quot;R$&quot;* &quot;-&quot;??_);_(@_)">
                        <c:v>0</c:v>
                      </c:pt>
                      <c:pt idx="13" formatCode="_(&quot;R$&quot;* #,##0.00_);_(&quot;R$&quot;* \(#,##0.00\);_(&quot;R$&quot;* &quot;-&quot;??_);_(@_)">
                        <c:v>0</c:v>
                      </c:pt>
                      <c:pt idx="14" formatCode="_(&quot;R$&quot;* #,##0.00_);_(&quot;R$&quot;* \(#,##0.00\);_(&quot;R$&quot;* &quot;-&quot;??_);_(@_)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4389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68256"/>
        <c:crosses val="autoZero"/>
        <c:auto val="1"/>
        <c:lblAlgn val="ctr"/>
        <c:lblOffset val="100"/>
        <c:noMultiLvlLbl val="0"/>
      </c:catAx>
      <c:valAx>
        <c:axId val="-4389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GRAFICO!$A$5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/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GRAFICO!$B$5:$AG$5</c15:sqref>
                  </c15:fullRef>
                </c:ext>
              </c:extLst>
              <c:f>(GRAFICO!$D$5,GRAFICO!$F$5,GRAFICO!$H$5,GRAFICO!$J$5,GRAFICO!$L$5,GRAFICO!$N$5,GRAFICO!$P$5,GRAFICO!$R$5,GRAFICO!$T$5,GRAFICO!$V$5,GRAFICO!$X$5,GRAFICO!$Z$5,GRAFICO!$AB$5,GRAFICO!$AD$5,GRAFICO!$AF$5)</c:f>
              <c:numCache>
                <c:formatCode>m/d/yyyy</c:formatCode>
                <c:ptCount val="15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GRAFICO!$A$6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/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GRAFICO!$B$6:$AG$6</c15:sqref>
                  </c15:fullRef>
                </c:ext>
              </c:extLst>
              <c:f>(GRAFICO!$D$6,GRAFICO!$F$6,GRAFICO!$H$6,GRAFICO!$J$6,GRAFICO!$L$6,GRAFICO!$N$6,GRAFICO!$P$6,GRAFICO!$R$6,GRAFICO!$T$6,GRAFICO!$V$6,GRAFICO!$X$6,GRAFICO!$Z$6,GRAFICO!$AB$6,GRAFICO!$AD$6,GRAFICO!$AF$6)</c:f>
              <c:numCache>
                <c:formatCode>m/d/yyyy</c:formatCode>
                <c:ptCount val="15"/>
                <c:pt idx="0" formatCode="0.00">
                  <c:v>0</c:v>
                </c:pt>
                <c:pt idx="1" formatCode="0.00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38957376"/>
        <c:axId val="-438970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GRAFICO!$A$3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GRAFICO!$B$3:$AG$3</c15:sqref>
                        </c15:fullRef>
                        <c15:formulaRef>
                          <c15:sqref>(GRAFICO!$D$3,GRAFICO!$F$3,GRAFICO!$H$3,GRAFICO!$J$3,GRAFICO!$L$3,GRAFICO!$N$3,GRAFICO!$P$3,GRAFICO!$R$3,GRAFICO!$T$3,GRAFICO!$V$3,GRAFICO!$X$3,GRAFICO!$Z$3,GRAFICO!$AB$3,GRAFICO!$AD$3,GRAFICO!$AF$3)</c15:sqref>
                        </c15:formulaRef>
                      </c:ext>
                    </c:extLst>
                    <c:numCache>
                      <c:formatCode>m/d/yyyy</c:formatCode>
                      <c:ptCount val="15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GRAFICO!$B$4:$AG$4</c15:sqref>
                        </c15:fullRef>
                        <c15:formulaRef>
                          <c15:sqref>(GRAFICO!$D$4,GRAFICO!$F$4,GRAFICO!$H$4,GRAFICO!$J$4,GRAFICO!$L$4,GRAFICO!$N$4,GRAFICO!$P$4,GRAFICO!$R$4,GRAFICO!$T$4,GRAFICO!$V$4,GRAFICO!$X$4,GRAFICO!$Z$4,GRAFICO!$AB$4,GRAFICO!$AD$4,GRAFICO!$AF$4)</c15:sqref>
                        </c15:formulaRef>
                      </c:ext>
                    </c:extLst>
                    <c:numCache>
                      <c:formatCode>m/d/yyyy</c:formatCode>
                      <c:ptCount val="15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4389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70976"/>
        <c:crosses val="autoZero"/>
        <c:auto val="1"/>
        <c:lblAlgn val="ctr"/>
        <c:lblOffset val="100"/>
        <c:noMultiLvlLbl val="0"/>
      </c:catAx>
      <c:valAx>
        <c:axId val="-4389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GRAFICO!$A$5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/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GRAFICO!$B$5:$AG$5</c15:sqref>
                  </c15:fullRef>
                </c:ext>
              </c:extLst>
              <c:f>(GRAFICO!$E$5,GRAFICO!$G$5,GRAFICO!$I$5,GRAFICO!$K$5,GRAFICO!$M$5,GRAFICO!$O$5,GRAFICO!$Q$5,GRAFICO!$S$5,GRAFICO!$U$5,GRAFICO!$W$5,GRAFICO!$Y$5,GRAFICO!$AA$5,GRAFICO!$AC$5,GRAFICO!$AE$5,GRAFICO!$AG$5)</c:f>
              <c:numCache>
                <c:formatCode>m/d/yyyy</c:formatCode>
                <c:ptCount val="15"/>
                <c:pt idx="0" formatCode="_(&quot;R$&quot;* #,##0.00_);_(&quot;R$&quot;* \(#,##0.00\);_(&quot;R$&quot;* &quot;-&quot;??_);_(@_)">
                  <c:v>0</c:v>
                </c:pt>
                <c:pt idx="1" formatCode="_(&quot;R$&quot;* #,##0.00_);_(&quot;R$&quot;* \(#,##0.00\);_(&quot;R$&quot;* &quot;-&quot;??_);_(@_)">
                  <c:v>0</c:v>
                </c:pt>
                <c:pt idx="2" formatCode="_(&quot;R$&quot;* #,##0.00_);_(&quot;R$&quot;* \(#,##0.00\);_(&quot;R$&quot;* &quot;-&quot;??_);_(@_)">
                  <c:v>0</c:v>
                </c:pt>
                <c:pt idx="3" formatCode="_(&quot;R$&quot;* #,##0.00_);_(&quot;R$&quot;* \(#,##0.00\);_(&quot;R$&quot;* &quot;-&quot;??_);_(@_)">
                  <c:v>0</c:v>
                </c:pt>
                <c:pt idx="4" formatCode="_(&quot;R$&quot;* #,##0.00_);_(&quot;R$&quot;* \(#,##0.00\);_(&quot;R$&quot;* &quot;-&quot;??_);_(@_)">
                  <c:v>0</c:v>
                </c:pt>
                <c:pt idx="5" formatCode="_(&quot;R$&quot;* #,##0.00_);_(&quot;R$&quot;* \(#,##0.00\);_(&quot;R$&quot;* &quot;-&quot;??_);_(@_)">
                  <c:v>0</c:v>
                </c:pt>
                <c:pt idx="6" formatCode="_(&quot;R$&quot;* #,##0.00_);_(&quot;R$&quot;* \(#,##0.00\);_(&quot;R$&quot;* &quot;-&quot;??_);_(@_)">
                  <c:v>0</c:v>
                </c:pt>
                <c:pt idx="7" formatCode="_(&quot;R$&quot;* #,##0.00_);_(&quot;R$&quot;* \(#,##0.00\);_(&quot;R$&quot;* &quot;-&quot;??_);_(@_)">
                  <c:v>0</c:v>
                </c:pt>
                <c:pt idx="8" formatCode="_(&quot;R$&quot;* #,##0.00_);_(&quot;R$&quot;* \(#,##0.00\);_(&quot;R$&quot;* &quot;-&quot;??_);_(@_)">
                  <c:v>0</c:v>
                </c:pt>
                <c:pt idx="9" formatCode="_(&quot;R$&quot;* #,##0.00_);_(&quot;R$&quot;* \(#,##0.00\);_(&quot;R$&quot;* &quot;-&quot;??_);_(@_)">
                  <c:v>0</c:v>
                </c:pt>
                <c:pt idx="10" formatCode="_(&quot;R$&quot;* #,##0.00_);_(&quot;R$&quot;* \(#,##0.00\);_(&quot;R$&quot;* &quot;-&quot;??_);_(@_)">
                  <c:v>0</c:v>
                </c:pt>
                <c:pt idx="11" formatCode="_(&quot;R$&quot;* #,##0.00_);_(&quot;R$&quot;* \(#,##0.00\);_(&quot;R$&quot;* &quot;-&quot;??_);_(@_)">
                  <c:v>0</c:v>
                </c:pt>
                <c:pt idx="12" formatCode="_(&quot;R$&quot;* #,##0.00_);_(&quot;R$&quot;* \(#,##0.00\);_(&quot;R$&quot;* &quot;-&quot;??_);_(@_)">
                  <c:v>0</c:v>
                </c:pt>
                <c:pt idx="13" formatCode="_(&quot;R$&quot;* #,##0.00_);_(&quot;R$&quot;* \(#,##0.00\);_(&quot;R$&quot;* &quot;-&quot;??_);_(@_)">
                  <c:v>0</c:v>
                </c:pt>
                <c:pt idx="14" formatCode="_(&quot;R$&quot;* #,##0.00_);_(&quot;R$&quot;* \(#,##0.00\);_(&quot;R$&quot;* &quot;-&quot;??_);_(@_)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GRAFICO!$A$6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/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GRAFICO!$B$6:$AG$6</c15:sqref>
                  </c15:fullRef>
                </c:ext>
              </c:extLst>
              <c:f>(GRAFICO!$E$6,GRAFICO!$G$6,GRAFICO!$I$6,GRAFICO!$K$6,GRAFICO!$M$6,GRAFICO!$O$6,GRAFICO!$Q$6,GRAFICO!$S$6,GRAFICO!$U$6,GRAFICO!$W$6,GRAFICO!$Y$6,GRAFICO!$AA$6,GRAFICO!$AC$6,GRAFICO!$AE$6,GRAFICO!$AG$6)</c:f>
              <c:numCache>
                <c:formatCode>m/d/yyyy</c:formatCode>
                <c:ptCount val="15"/>
                <c:pt idx="0" formatCode="_(&quot;R$&quot;* #,##0.00_);_(&quot;R$&quot;* \(#,##0.00\);_(&quot;R$&quot;* &quot;-&quot;??_);_(@_)">
                  <c:v>0</c:v>
                </c:pt>
                <c:pt idx="1" formatCode="_(&quot;R$&quot;* #,##0.00_);_(&quot;R$&quot;* \(#,##0.00\);_(&quot;R$&quot;* &quot;-&quot;??_);_(@_)">
                  <c:v>0</c:v>
                </c:pt>
                <c:pt idx="2" formatCode="_(&quot;R$&quot;* #,##0.00_);_(&quot;R$&quot;* \(#,##0.00\);_(&quot;R$&quot;* &quot;-&quot;??_);_(@_)">
                  <c:v>0</c:v>
                </c:pt>
                <c:pt idx="3" formatCode="_(&quot;R$&quot;* #,##0.00_);_(&quot;R$&quot;* \(#,##0.00\);_(&quot;R$&quot;* &quot;-&quot;??_);_(@_)">
                  <c:v>0</c:v>
                </c:pt>
                <c:pt idx="4" formatCode="_(&quot;R$&quot;* #,##0.00_);_(&quot;R$&quot;* \(#,##0.00\);_(&quot;R$&quot;* &quot;-&quot;??_);_(@_)">
                  <c:v>0</c:v>
                </c:pt>
                <c:pt idx="5" formatCode="_(&quot;R$&quot;* #,##0.00_);_(&quot;R$&quot;* \(#,##0.00\);_(&quot;R$&quot;* &quot;-&quot;??_);_(@_)">
                  <c:v>0</c:v>
                </c:pt>
                <c:pt idx="6" formatCode="_(&quot;R$&quot;* #,##0.00_);_(&quot;R$&quot;* \(#,##0.00\);_(&quot;R$&quot;* &quot;-&quot;??_);_(@_)">
                  <c:v>0</c:v>
                </c:pt>
                <c:pt idx="7" formatCode="_(&quot;R$&quot;* #,##0.00_);_(&quot;R$&quot;* \(#,##0.00\);_(&quot;R$&quot;* &quot;-&quot;??_);_(@_)">
                  <c:v>0</c:v>
                </c:pt>
                <c:pt idx="8" formatCode="_(&quot;R$&quot;* #,##0.00_);_(&quot;R$&quot;* \(#,##0.00\);_(&quot;R$&quot;* &quot;-&quot;??_);_(@_)">
                  <c:v>0</c:v>
                </c:pt>
                <c:pt idx="9" formatCode="_(&quot;R$&quot;* #,##0.00_);_(&quot;R$&quot;* \(#,##0.00\);_(&quot;R$&quot;* &quot;-&quot;??_);_(@_)">
                  <c:v>0</c:v>
                </c:pt>
                <c:pt idx="10" formatCode="_(&quot;R$&quot;* #,##0.00_);_(&quot;R$&quot;* \(#,##0.00\);_(&quot;R$&quot;* &quot;-&quot;??_);_(@_)">
                  <c:v>0</c:v>
                </c:pt>
                <c:pt idx="11" formatCode="_(&quot;R$&quot;* #,##0.00_);_(&quot;R$&quot;* \(#,##0.00\);_(&quot;R$&quot;* &quot;-&quot;??_);_(@_)">
                  <c:v>0</c:v>
                </c:pt>
                <c:pt idx="12" formatCode="_(&quot;R$&quot;* #,##0.00_);_(&quot;R$&quot;* \(#,##0.00\);_(&quot;R$&quot;* &quot;-&quot;??_);_(@_)">
                  <c:v>0</c:v>
                </c:pt>
                <c:pt idx="13" formatCode="_(&quot;R$&quot;* #,##0.00_);_(&quot;R$&quot;* \(#,##0.00\);_(&quot;R$&quot;* &quot;-&quot;??_);_(@_)">
                  <c:v>0</c:v>
                </c:pt>
                <c:pt idx="14" formatCode="_(&quot;R$&quot;* #,##0.00_);_(&quot;R$&quot;* \(#,##0.00\);_(&quot;R$&quot;* &quot;-&quot;??_);_(@_)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38972608"/>
        <c:axId val="-438961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GRAFICO!$A$3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GRAFICO!$B$3:$AG$3</c15:sqref>
                        </c15:fullRef>
                        <c15:formulaRef>
                          <c15:sqref>(GRAFICO!$E$3,GRAFICO!$G$3,GRAFICO!$I$3,GRAFICO!$K$3,GRAFICO!$M$3,GRAFICO!$O$3,GRAFICO!$Q$3,GRAFICO!$S$3,GRAFICO!$U$3,GRAFICO!$W$3,GRAFICO!$Y$3,GRAFICO!$AA$3,GRAFICO!$AC$3,GRAFICO!$AE$3,GRAFICO!$AG$3)</c15:sqref>
                        </c15:formulaRef>
                      </c:ext>
                    </c:extLst>
                    <c:numCache>
                      <c:formatCode>m/d/yyyy</c:formatCode>
                      <c:ptCount val="15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/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GRAFICO!$B$4:$AG$4</c15:sqref>
                        </c15:fullRef>
                        <c15:formulaRef>
                          <c15:sqref>(GRAFICO!$E$4,GRAFICO!$G$4,GRAFICO!$I$4,GRAFICO!$K$4,GRAFICO!$M$4,GRAFICO!$O$4,GRAFICO!$Q$4,GRAFICO!$S$4,GRAFICO!$U$4,GRAFICO!$W$4,GRAFICO!$Y$4,GRAFICO!$AA$4,GRAFICO!$AC$4,GRAFICO!$AE$4,GRAFICO!$AG$4)</c15:sqref>
                        </c15:formulaRef>
                      </c:ext>
                    </c:extLst>
                    <c:numCache>
                      <c:formatCode>m/d/yyyy</c:formatCode>
                      <c:ptCount val="15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43897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61728"/>
        <c:crosses val="autoZero"/>
        <c:auto val="1"/>
        <c:lblAlgn val="ctr"/>
        <c:lblOffset val="100"/>
        <c:noMultiLvlLbl val="0"/>
      </c:catAx>
      <c:valAx>
        <c:axId val="-4389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4389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4762</xdr:rowOff>
    </xdr:from>
    <xdr:to>
      <xdr:col>9</xdr:col>
      <xdr:colOff>1904999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4762</xdr:rowOff>
    </xdr:from>
    <xdr:to>
      <xdr:col>10</xdr:col>
      <xdr:colOff>0</xdr:colOff>
      <xdr:row>37</xdr:row>
      <xdr:rowOff>80962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7</xdr:row>
      <xdr:rowOff>4762</xdr:rowOff>
    </xdr:from>
    <xdr:to>
      <xdr:col>19</xdr:col>
      <xdr:colOff>1914525</xdr:colOff>
      <xdr:row>21</xdr:row>
      <xdr:rowOff>80962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22</xdr:row>
      <xdr:rowOff>176212</xdr:rowOff>
    </xdr:from>
    <xdr:to>
      <xdr:col>19</xdr:col>
      <xdr:colOff>1914525</xdr:colOff>
      <xdr:row>37</xdr:row>
      <xdr:rowOff>61912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Comp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Vend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ITULO%20COMPRADO%20-%20LILI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SELIC"/>
    </sheetNames>
    <sheetDataSet>
      <sheetData sheetId="0">
        <row r="4">
          <cell r="A4" t="str">
            <v>Tesouro IPCA+ 2035</v>
          </cell>
          <cell r="C4">
            <v>4.4400000000000004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PREFIXADOS JUROS SEM."/>
      <sheetName val="TESOURO SELIC"/>
      <sheetName val="TESOURO IGP-M"/>
    </sheetNames>
    <sheetDataSet>
      <sheetData sheetId="0">
        <row r="5">
          <cell r="C5">
            <v>4.5599999999999996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R5">
            <v>2614.1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0519"/>
      <sheetName val="GRAFICO"/>
    </sheetNames>
    <sheetDataSet>
      <sheetData sheetId="0"/>
      <sheetData sheetId="1">
        <row r="5">
          <cell r="B5">
            <v>973.98392958904105</v>
          </cell>
          <cell r="AG5">
            <v>1.6127808219178084</v>
          </cell>
        </row>
        <row r="6">
          <cell r="B6">
            <v>973</v>
          </cell>
          <cell r="AG6">
            <v>1.5647972602739728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8" sqref="H8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19" bestFit="1" customWidth="1"/>
    <col min="4" max="4" width="12.5703125" bestFit="1" customWidth="1"/>
    <col min="5" max="5" width="24.85546875" bestFit="1" customWidth="1"/>
    <col min="6" max="6" width="26.42578125" bestFit="1" customWidth="1"/>
    <col min="7" max="7" width="23.140625" bestFit="1" customWidth="1"/>
    <col min="8" max="8" width="21.4257812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</row>
    <row r="2" spans="1:8" x14ac:dyDescent="0.25">
      <c r="A2" t="str">
        <f>'[1]020519'!$A$4</f>
        <v>Tesouro IPCA+ 2035</v>
      </c>
      <c r="B2" s="5">
        <v>43587</v>
      </c>
      <c r="C2" s="6">
        <f>GRAFICO!B6</f>
        <v>974.56479726027396</v>
      </c>
      <c r="D2" s="32" t="e">
        <f>C2/F2</f>
        <v>#DIV/0!</v>
      </c>
      <c r="E2" s="7">
        <f>'[1]020519'!$C$4</f>
        <v>4.4400000000000004</v>
      </c>
      <c r="F2" s="6">
        <f>GRAFICO!E4</f>
        <v>0</v>
      </c>
      <c r="G2" s="8">
        <f>'[2]020519'!$C$5</f>
        <v>4.5599999999999996</v>
      </c>
      <c r="H2" s="9">
        <f>'[2]TESOURO IPCA'!$R$5</f>
        <v>2614.1</v>
      </c>
    </row>
    <row r="4" spans="1:8" x14ac:dyDescent="0.25">
      <c r="A4" t="s">
        <v>19</v>
      </c>
      <c r="B4" t="s">
        <v>9</v>
      </c>
      <c r="C4" t="s">
        <v>20</v>
      </c>
      <c r="D4" t="s">
        <v>25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18</v>
      </c>
      <c r="B5" s="45">
        <v>45519</v>
      </c>
      <c r="C5">
        <v>1.49</v>
      </c>
      <c r="D5">
        <v>0.5</v>
      </c>
      <c r="E5">
        <v>6.57</v>
      </c>
      <c r="F5">
        <v>17.57</v>
      </c>
      <c r="G5">
        <v>3.89</v>
      </c>
      <c r="H5">
        <v>4.01</v>
      </c>
    </row>
    <row r="7" spans="1:8" x14ac:dyDescent="0.25">
      <c r="C7" s="9">
        <f>((C2*C5)/100)+C2</f>
        <v>989.08581273945208</v>
      </c>
      <c r="D7" s="9">
        <f>((C2*D5)/100)+C2</f>
        <v>979.4376212465753</v>
      </c>
      <c r="E7" s="9">
        <f>((C2*E5)/100)+C2</f>
        <v>1038.593704440274</v>
      </c>
      <c r="F7" s="9">
        <f>((C2*F5)/100)+C2</f>
        <v>1145.7958321389042</v>
      </c>
      <c r="G7">
        <f>E2-G5</f>
        <v>0.55000000000000027</v>
      </c>
      <c r="H7">
        <f>G2-H5</f>
        <v>0.54999999999999982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tabSelected="1" workbookViewId="0">
      <selection activeCell="C7" sqref="C7"/>
    </sheetView>
  </sheetViews>
  <sheetFormatPr defaultRowHeight="15" x14ac:dyDescent="0.25"/>
  <cols>
    <col min="1" max="1" width="15.5703125" bestFit="1" customWidth="1"/>
    <col min="2" max="2" width="18.42578125" bestFit="1" customWidth="1"/>
    <col min="3" max="3" width="11.85546875" bestFit="1" customWidth="1"/>
    <col min="4" max="4" width="28.85546875" bestFit="1" customWidth="1"/>
    <col min="5" max="5" width="14.42578125" bestFit="1" customWidth="1"/>
    <col min="6" max="6" width="28.85546875" bestFit="1" customWidth="1"/>
    <col min="7" max="7" width="14.42578125" bestFit="1" customWidth="1"/>
    <col min="8" max="8" width="28.85546875" bestFit="1" customWidth="1"/>
    <col min="9" max="9" width="14.42578125" bestFit="1" customWidth="1"/>
    <col min="10" max="10" width="28.85546875" bestFit="1" customWidth="1"/>
    <col min="11" max="11" width="14.42578125" bestFit="1" customWidth="1"/>
    <col min="12" max="12" width="28.85546875" bestFit="1" customWidth="1"/>
    <col min="13" max="13" width="14.42578125" bestFit="1" customWidth="1"/>
    <col min="14" max="14" width="28.85546875" bestFit="1" customWidth="1"/>
    <col min="15" max="15" width="14.42578125" bestFit="1" customWidth="1"/>
    <col min="16" max="16" width="28.85546875" bestFit="1" customWidth="1"/>
    <col min="17" max="17" width="14.42578125" bestFit="1" customWidth="1"/>
    <col min="18" max="18" width="28.85546875" bestFit="1" customWidth="1"/>
    <col min="19" max="19" width="14.42578125" bestFit="1" customWidth="1"/>
    <col min="20" max="20" width="28.85546875" bestFit="1" customWidth="1"/>
    <col min="21" max="21" width="14.42578125" bestFit="1" customWidth="1"/>
    <col min="22" max="22" width="28.85546875" bestFit="1" customWidth="1"/>
    <col min="23" max="23" width="14.42578125" bestFit="1" customWidth="1"/>
    <col min="24" max="24" width="28.85546875" bestFit="1" customWidth="1"/>
    <col min="25" max="25" width="14.42578125" bestFit="1" customWidth="1"/>
    <col min="26" max="26" width="28.85546875" bestFit="1" customWidth="1"/>
    <col min="27" max="27" width="14.42578125" bestFit="1" customWidth="1"/>
    <col min="28" max="28" width="28.85546875" bestFit="1" customWidth="1"/>
    <col min="29" max="29" width="14.42578125" bestFit="1" customWidth="1"/>
    <col min="30" max="30" width="28.85546875" bestFit="1" customWidth="1"/>
    <col min="31" max="31" width="14.42578125" bestFit="1" customWidth="1"/>
    <col min="32" max="32" width="28.85546875" bestFit="1" customWidth="1"/>
    <col min="33" max="33" width="14.42578125" bestFit="1" customWidth="1"/>
  </cols>
  <sheetData>
    <row r="1" spans="1:34" s="10" customFormat="1" ht="15.75" customHeight="1" x14ac:dyDescent="0.25">
      <c r="A1" s="33"/>
      <c r="B1" s="11" t="s">
        <v>8</v>
      </c>
      <c r="C1" s="12" t="s">
        <v>9</v>
      </c>
      <c r="D1" s="13" t="s">
        <v>10</v>
      </c>
      <c r="E1" s="13" t="s">
        <v>11</v>
      </c>
      <c r="F1" s="13" t="s">
        <v>10</v>
      </c>
      <c r="G1" s="13" t="s">
        <v>11</v>
      </c>
      <c r="H1" s="13" t="s">
        <v>10</v>
      </c>
      <c r="I1" s="13" t="s">
        <v>11</v>
      </c>
      <c r="J1" s="13" t="s">
        <v>10</v>
      </c>
      <c r="K1" s="13" t="s">
        <v>11</v>
      </c>
      <c r="L1" s="13" t="s">
        <v>10</v>
      </c>
      <c r="M1" s="13" t="s">
        <v>11</v>
      </c>
      <c r="N1" s="13" t="s">
        <v>10</v>
      </c>
      <c r="O1" s="13" t="s">
        <v>11</v>
      </c>
      <c r="P1" s="31" t="s">
        <v>10</v>
      </c>
      <c r="Q1" s="31" t="s">
        <v>11</v>
      </c>
      <c r="R1" s="31" t="s">
        <v>10</v>
      </c>
      <c r="S1" s="34" t="s">
        <v>11</v>
      </c>
      <c r="T1" s="13" t="s">
        <v>10</v>
      </c>
      <c r="U1" s="13" t="s">
        <v>11</v>
      </c>
      <c r="V1" s="31" t="s">
        <v>10</v>
      </c>
      <c r="W1" s="31" t="s">
        <v>11</v>
      </c>
      <c r="X1" s="31" t="s">
        <v>10</v>
      </c>
      <c r="Y1" s="31" t="s">
        <v>11</v>
      </c>
      <c r="Z1" s="31" t="s">
        <v>10</v>
      </c>
      <c r="AA1" s="31" t="s">
        <v>11</v>
      </c>
      <c r="AB1" s="13" t="s">
        <v>10</v>
      </c>
      <c r="AC1" s="13" t="s">
        <v>11</v>
      </c>
      <c r="AD1" s="13" t="s">
        <v>10</v>
      </c>
      <c r="AE1" s="13" t="s">
        <v>11</v>
      </c>
      <c r="AF1" s="13" t="s">
        <v>10</v>
      </c>
      <c r="AG1" s="13" t="s">
        <v>11</v>
      </c>
      <c r="AH1" s="20"/>
    </row>
    <row r="2" spans="1:34" s="10" customFormat="1" ht="15.75" customHeight="1" x14ac:dyDescent="0.25">
      <c r="A2" s="33"/>
      <c r="B2" s="14" t="s">
        <v>12</v>
      </c>
      <c r="C2" s="23"/>
      <c r="D2" s="15"/>
      <c r="E2" s="16"/>
      <c r="F2" s="15"/>
      <c r="G2" s="16"/>
      <c r="H2" s="15"/>
      <c r="I2" s="16"/>
      <c r="J2" s="15"/>
      <c r="K2" s="16"/>
      <c r="L2" s="15"/>
      <c r="M2" s="16"/>
      <c r="N2" s="17"/>
      <c r="O2" s="17"/>
      <c r="P2" s="15"/>
      <c r="Q2" s="17"/>
      <c r="R2" s="15"/>
      <c r="S2" s="17"/>
      <c r="T2" s="15"/>
      <c r="U2" s="17"/>
      <c r="V2" s="15"/>
      <c r="W2" s="17"/>
      <c r="X2" s="15"/>
      <c r="Y2" s="16"/>
      <c r="Z2" s="15"/>
      <c r="AA2" s="16"/>
      <c r="AB2" s="15"/>
      <c r="AC2" s="16"/>
      <c r="AD2" s="15"/>
      <c r="AE2" s="16"/>
      <c r="AF2" s="15"/>
      <c r="AG2" s="16"/>
      <c r="AH2" s="20"/>
    </row>
    <row r="3" spans="1:34" s="19" customFormat="1" ht="16.5" customHeight="1" x14ac:dyDescent="0.25">
      <c r="A3" s="18" t="s">
        <v>13</v>
      </c>
      <c r="B3" s="41" t="s">
        <v>17</v>
      </c>
      <c r="C3" s="42">
        <v>45519</v>
      </c>
      <c r="D3" s="35"/>
      <c r="E3" s="36"/>
      <c r="F3" s="35"/>
      <c r="G3" s="36"/>
      <c r="H3" s="35"/>
      <c r="I3" s="36"/>
      <c r="J3" s="35"/>
      <c r="K3" s="36"/>
      <c r="L3" s="35"/>
      <c r="M3" s="36"/>
      <c r="N3" s="39"/>
      <c r="O3" s="40"/>
      <c r="P3" s="35"/>
      <c r="Q3" s="40"/>
      <c r="R3" s="35"/>
      <c r="S3" s="40"/>
      <c r="T3" s="35"/>
      <c r="U3" s="40"/>
      <c r="V3" s="35"/>
      <c r="W3" s="40"/>
      <c r="X3" s="35"/>
      <c r="Y3" s="40"/>
      <c r="Z3" s="35"/>
      <c r="AA3" s="40"/>
      <c r="AB3" s="35"/>
      <c r="AC3" s="40"/>
      <c r="AD3" s="35"/>
      <c r="AE3" s="40"/>
      <c r="AF3" s="35"/>
      <c r="AG3" s="36"/>
      <c r="AH3" s="20"/>
    </row>
    <row r="4" spans="1:34" s="20" customFormat="1" ht="15.75" customHeight="1" x14ac:dyDescent="0.25">
      <c r="A4" s="18" t="s">
        <v>14</v>
      </c>
      <c r="B4" s="43" t="s">
        <v>17</v>
      </c>
      <c r="C4" s="44">
        <v>45519</v>
      </c>
      <c r="D4" s="29"/>
      <c r="E4" s="26"/>
      <c r="F4" s="29"/>
      <c r="G4" s="26"/>
      <c r="H4" s="29"/>
      <c r="I4" s="26"/>
      <c r="J4" s="29"/>
      <c r="K4" s="26"/>
      <c r="L4" s="29"/>
      <c r="M4" s="26"/>
      <c r="N4" s="24"/>
      <c r="O4" s="25"/>
      <c r="P4" s="29"/>
      <c r="Q4" s="25"/>
      <c r="R4" s="29"/>
      <c r="S4" s="25"/>
      <c r="T4" s="29"/>
      <c r="U4" s="25"/>
      <c r="V4" s="29"/>
      <c r="W4" s="25"/>
      <c r="X4" s="29"/>
      <c r="Y4" s="25"/>
      <c r="Z4" s="29"/>
      <c r="AA4" s="25"/>
      <c r="AB4" s="29"/>
      <c r="AC4" s="25"/>
      <c r="AD4" s="29"/>
      <c r="AE4" s="25"/>
      <c r="AF4" s="29"/>
      <c r="AG4" s="26"/>
    </row>
    <row r="5" spans="1:34" s="22" customFormat="1" x14ac:dyDescent="0.25">
      <c r="A5" s="21" t="s">
        <v>15</v>
      </c>
      <c r="B5" s="48">
        <f>[3]GRAFICO!$AG$5+[3]GRAFICO!$B$5</f>
        <v>975.59671041095885</v>
      </c>
      <c r="C5" s="27">
        <v>43598</v>
      </c>
      <c r="D5" s="28" t="e">
        <f>$B$5/E3</f>
        <v>#DIV/0!</v>
      </c>
      <c r="E5" s="30">
        <f>((D3/365)*$B$6)/100</f>
        <v>0</v>
      </c>
      <c r="F5" s="28" t="e">
        <f>$B$5/G3</f>
        <v>#DIV/0!</v>
      </c>
      <c r="G5" s="30">
        <f>(((F3/365)*$B$6)/100)+E5</f>
        <v>0</v>
      </c>
      <c r="H5" s="28" t="e">
        <f t="shared" ref="H5" si="0">$B$5/I3</f>
        <v>#DIV/0!</v>
      </c>
      <c r="I5" s="30">
        <f t="shared" ref="I5:I6" si="1">(((H3/365)*$B$6)/100)+G5</f>
        <v>0</v>
      </c>
      <c r="J5" s="28" t="e">
        <f t="shared" ref="J5" si="2">$B$5/K3</f>
        <v>#DIV/0!</v>
      </c>
      <c r="K5" s="30">
        <f t="shared" ref="K5:K6" si="3">(((J3/365)*$B$6)/100)+I5</f>
        <v>0</v>
      </c>
      <c r="L5" s="28" t="e">
        <f t="shared" ref="L5" si="4">$B$5/M3</f>
        <v>#DIV/0!</v>
      </c>
      <c r="M5" s="30">
        <f t="shared" ref="M5:M6" si="5">(((L3/365)*$B$6)/100)+K5</f>
        <v>0</v>
      </c>
      <c r="N5" s="28" t="e">
        <f t="shared" ref="N5" si="6">$B$5/O3</f>
        <v>#DIV/0!</v>
      </c>
      <c r="O5" s="30">
        <f t="shared" ref="O5:O6" si="7">(((N3/365)*$B$6)/100)+M5</f>
        <v>0</v>
      </c>
      <c r="P5" s="28" t="e">
        <f t="shared" ref="P5" si="8">$B$5/Q3</f>
        <v>#DIV/0!</v>
      </c>
      <c r="Q5" s="30">
        <f t="shared" ref="Q5:Q6" si="9">(((P3/365)*$B$6)/100)+O5</f>
        <v>0</v>
      </c>
      <c r="R5" s="28" t="e">
        <f t="shared" ref="R5" si="10">$B$5/S3</f>
        <v>#DIV/0!</v>
      </c>
      <c r="S5" s="30">
        <f t="shared" ref="S5:S6" si="11">(((R3/365)*$B$6)/100)+Q5</f>
        <v>0</v>
      </c>
      <c r="T5" s="28" t="e">
        <f t="shared" ref="T5" si="12">$B$5/U3</f>
        <v>#DIV/0!</v>
      </c>
      <c r="U5" s="30">
        <f t="shared" ref="U5:U6" si="13">(((T3/365)*$B$6)/100)+S5</f>
        <v>0</v>
      </c>
      <c r="V5" s="37" t="e">
        <f t="shared" ref="V5" si="14">$B$5/W3</f>
        <v>#DIV/0!</v>
      </c>
      <c r="W5" s="38">
        <f t="shared" ref="W5:W6" si="15">(((V3/365)*$B$6)/100)+U5</f>
        <v>0</v>
      </c>
      <c r="X5" s="37" t="e">
        <f t="shared" ref="X5" si="16">$B$5/Y3</f>
        <v>#DIV/0!</v>
      </c>
      <c r="Y5" s="38">
        <f>(((X3/365)*$B$6)/100)+W5</f>
        <v>0</v>
      </c>
      <c r="Z5" s="37" t="e">
        <f t="shared" ref="Z5" si="17">$B$5/AA3</f>
        <v>#DIV/0!</v>
      </c>
      <c r="AA5" s="38">
        <f>(((Z3/365)*$B$6)/100)+Y5</f>
        <v>0</v>
      </c>
      <c r="AB5" s="37" t="e">
        <f t="shared" ref="AB5" si="18">$B$5/AC3</f>
        <v>#DIV/0!</v>
      </c>
      <c r="AC5" s="38">
        <f>(((AB3/365)*$B$6)/100)+AA5</f>
        <v>0</v>
      </c>
      <c r="AD5" s="37" t="e">
        <f t="shared" ref="AD5" si="19">$B$5/AE3</f>
        <v>#DIV/0!</v>
      </c>
      <c r="AE5" s="38">
        <f>(((AD3/365)*$B$6)/100)+AC5</f>
        <v>0</v>
      </c>
      <c r="AF5" s="37" t="e">
        <f t="shared" ref="AF5" si="20">$B$5/AG3</f>
        <v>#DIV/0!</v>
      </c>
      <c r="AG5" s="38">
        <f>(((AF3/365)*$B$6)/100)+AE5</f>
        <v>0</v>
      </c>
      <c r="AH5" s="46">
        <f>AG5-E5</f>
        <v>0</v>
      </c>
    </row>
    <row r="6" spans="1:34" x14ac:dyDescent="0.25">
      <c r="A6" s="21" t="s">
        <v>16</v>
      </c>
      <c r="B6" s="48">
        <f>[3]GRAFICO!$AG$6+[3]GRAFICO!$B$6</f>
        <v>974.56479726027396</v>
      </c>
      <c r="C6" s="27">
        <v>43598</v>
      </c>
      <c r="D6" s="28" t="e">
        <f>$B$6/E4</f>
        <v>#DIV/0!</v>
      </c>
      <c r="E6" s="30">
        <f>((D4/365)*$B$6)/100</f>
        <v>0</v>
      </c>
      <c r="F6" s="28" t="e">
        <f>$B$6/G4</f>
        <v>#DIV/0!</v>
      </c>
      <c r="G6" s="30">
        <f>(((F4/365)*$B$6)/100)+E6</f>
        <v>0</v>
      </c>
      <c r="H6" s="28" t="e">
        <f t="shared" ref="H6" si="21">$B$6/I4</f>
        <v>#DIV/0!</v>
      </c>
      <c r="I6" s="30">
        <f t="shared" si="1"/>
        <v>0</v>
      </c>
      <c r="J6" s="28" t="e">
        <f t="shared" ref="J6" si="22">$B$6/K4</f>
        <v>#DIV/0!</v>
      </c>
      <c r="K6" s="30">
        <f t="shared" si="3"/>
        <v>0</v>
      </c>
      <c r="L6" s="28" t="e">
        <f t="shared" ref="L6" si="23">$B$6/M4</f>
        <v>#DIV/0!</v>
      </c>
      <c r="M6" s="30">
        <f t="shared" si="5"/>
        <v>0</v>
      </c>
      <c r="N6" s="28" t="e">
        <f t="shared" ref="N6" si="24">$B$6/O4</f>
        <v>#DIV/0!</v>
      </c>
      <c r="O6" s="30">
        <f t="shared" si="7"/>
        <v>0</v>
      </c>
      <c r="P6" s="28" t="e">
        <f t="shared" ref="P6" si="25">$B$6/Q4</f>
        <v>#DIV/0!</v>
      </c>
      <c r="Q6" s="30">
        <f t="shared" si="9"/>
        <v>0</v>
      </c>
      <c r="R6" s="28" t="e">
        <f t="shared" ref="R6" si="26">$B$6/S4</f>
        <v>#DIV/0!</v>
      </c>
      <c r="S6" s="30">
        <f t="shared" si="11"/>
        <v>0</v>
      </c>
      <c r="T6" s="28" t="e">
        <f t="shared" ref="T6" si="27">$B$6/U4</f>
        <v>#DIV/0!</v>
      </c>
      <c r="U6" s="30">
        <f t="shared" si="13"/>
        <v>0</v>
      </c>
      <c r="V6" s="28" t="e">
        <f t="shared" ref="V6" si="28">$B$6/W4</f>
        <v>#DIV/0!</v>
      </c>
      <c r="W6" s="30">
        <f t="shared" si="15"/>
        <v>0</v>
      </c>
      <c r="X6" s="28" t="e">
        <f t="shared" ref="X6" si="29">$B$6/Y4</f>
        <v>#DIV/0!</v>
      </c>
      <c r="Y6" s="30">
        <f t="shared" ref="Y6" si="30">(((X4/365)*$B$6)/100)+W6</f>
        <v>0</v>
      </c>
      <c r="Z6" s="28" t="e">
        <f t="shared" ref="Z6" si="31">$B$6/AA4</f>
        <v>#DIV/0!</v>
      </c>
      <c r="AA6" s="30">
        <f t="shared" ref="AA6" si="32">(((Z4/365)*$B$6)/100)+Y6</f>
        <v>0</v>
      </c>
      <c r="AB6" s="28" t="e">
        <f t="shared" ref="AB6" si="33">$B$6/AC4</f>
        <v>#DIV/0!</v>
      </c>
      <c r="AC6" s="30">
        <f t="shared" ref="AC6" si="34">(((AB4/365)*$B$6)/100)+AA6</f>
        <v>0</v>
      </c>
      <c r="AD6" s="28" t="e">
        <f t="shared" ref="AD6" si="35">$B$6/AE4</f>
        <v>#DIV/0!</v>
      </c>
      <c r="AE6" s="30">
        <f t="shared" ref="AE6" si="36">(((AD4/365)*$B$6)/100)+AC6</f>
        <v>0</v>
      </c>
      <c r="AF6" s="28" t="e">
        <f t="shared" ref="AF6" si="37">$B$6/AG4</f>
        <v>#DIV/0!</v>
      </c>
      <c r="AG6" s="30">
        <f t="shared" ref="AG6" si="38">(((AF4/365)*$B$6)/100)+AE6</f>
        <v>0</v>
      </c>
      <c r="AH6" s="46">
        <f>AG6-E6</f>
        <v>0</v>
      </c>
    </row>
    <row r="7" spans="1:34" x14ac:dyDescent="0.25">
      <c r="AH7" s="47">
        <f>AH5-AH6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130519</vt:lpstr>
      <vt:lpstr>GRAFICO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2019-06-01T11:13:20Z</dcterms:modified>
</cp:coreProperties>
</file>