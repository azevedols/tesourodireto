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F7" i="2" l="1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D7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D6" i="2"/>
  <c r="E7" i="2"/>
  <c r="E6" i="2"/>
  <c r="B7" i="2" l="1"/>
  <c r="B6" i="2"/>
  <c r="H2" i="1"/>
  <c r="G2" i="1"/>
  <c r="E2" i="1"/>
  <c r="F2" i="1"/>
  <c r="A2" i="1"/>
</calcChain>
</file>

<file path=xl/sharedStrings.xml><?xml version="1.0" encoding="utf-8"?>
<sst xmlns="http://schemas.openxmlformats.org/spreadsheetml/2006/main" count="45" uniqueCount="18">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</sst>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5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5" fontId="3" fillId="2" borderId="0" xfId="0" applyNumberFormat="1" applyFont="1" applyFill="1" applyBorder="1" applyAlignment="1">
      <alignment horizontal="center"/>
    </xf>
    <xf numFmtId="165" fontId="3" fillId="2" borderId="6" xfId="0" applyNumberFormat="1" applyFont="1" applyFill="1" applyBorder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2" borderId="8" xfId="0" applyNumberFormat="1" applyFont="1" applyFill="1" applyBorder="1" applyAlignment="1">
      <alignment horizontal="center"/>
    </xf>
    <xf numFmtId="165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GRAFICO!$B$2:$AE$3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(GRAFICO!$D$2:$D$3,GRAFICO!$F$2:$F$3,GRAFICO!$H$2:$H$3,GRAFICO!$J$2:$J$3,GRAFICO!$L$2:$L$3,GRAFICO!$N$2:$N$3,GRAFICO!$P$2:$P$3,GRAFICO!$R$2:$R$3,GRAFICO!$T$2:$T$3,GRAFICO!$V$2:$V$3,GRAFICO!$X$2:$X$3,GRAFICO!$Z$2:$Z$3,GRAFICO!$AB$2:$AB$3,GRAFICO!$AD$2:$AD$3)</c:f>
              <c:multiLvlStrCache>
                <c:ptCount val="14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GRAFICO!$B$6:$AE$6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(GRAFICO!$D$6,GRAFICO!$F$6,GRAFICO!$H$6,GRAFICO!$J$6,GRAFICO!$L$6,GRAFICO!$N$6,GRAFICO!$P$6,GRAFICO!$R$6,GRAFICO!$T$6,GRAFICO!$V$6,GRAFICO!$X$6,GRAFICO!$Z$6,GRAFICO!$AB$6,GRAFICO!$AD$6)</c:f>
              <c:numCache>
                <c:formatCode>m/d/yyyy</c:formatCode>
                <c:ptCount val="14"/>
                <c:pt idx="0" formatCode="0.00">
                  <c:v>0.25463106728435353</c:v>
                </c:pt>
                <c:pt idx="1" formatCode="0.00">
                  <c:v>0.25365530303030304</c:v>
                </c:pt>
                <c:pt idx="2" formatCode="0.00">
                  <c:v>0.25278396436525613</c:v>
                </c:pt>
                <c:pt idx="3" formatCode="0.00">
                  <c:v>0.251917012031876</c:v>
                </c:pt>
                <c:pt idx="4" formatCode="0.00">
                  <c:v>0.25143776166010628</c:v>
                </c:pt>
                <c:pt idx="5" formatCode="0.00">
                  <c:v>0.25134338815316193</c:v>
                </c:pt>
                <c:pt idx="6" formatCode="0.00">
                  <c:v>0.24932826142265854</c:v>
                </c:pt>
                <c:pt idx="7" formatCode="0.00">
                  <c:v>0.24847712753786311</c:v>
                </c:pt>
                <c:pt idx="8" formatCode="0.00">
                  <c:v>0.24990981128789483</c:v>
                </c:pt>
                <c:pt idx="9" formatCode="0.00">
                  <c:v>0.24832202321355731</c:v>
                </c:pt>
                <c:pt idx="10" formatCode="0.00">
                  <c:v>0.2482560474528098</c:v>
                </c:pt>
                <c:pt idx="11" formatCode="0.00">
                  <c:v>0.24890196685767385</c:v>
                </c:pt>
                <c:pt idx="12" formatCode="0.00">
                  <c:v>0.24997822435139677</c:v>
                </c:pt>
                <c:pt idx="13" formatCode="0.00">
                  <c:v>0.24313922457352755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GRAFICO!$B$2:$AE$3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(GRAFICO!$D$2:$D$3,GRAFICO!$F$2:$F$3,GRAFICO!$H$2:$H$3,GRAFICO!$J$2:$J$3,GRAFICO!$L$2:$L$3,GRAFICO!$N$2:$N$3,GRAFICO!$P$2:$P$3,GRAFICO!$R$2:$R$3,GRAFICO!$T$2:$T$3,GRAFICO!$V$2:$V$3,GRAFICO!$X$2:$X$3,GRAFICO!$Z$2:$Z$3,GRAFICO!$AB$2:$AB$3,GRAFICO!$AD$2:$AD$3)</c:f>
              <c:multiLvlStrCache>
                <c:ptCount val="14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GRAFICO!$B$7:$AE$7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(GRAFICO!$D$7,GRAFICO!$F$7,GRAFICO!$H$7,GRAFICO!$J$7,GRAFICO!$L$7,GRAFICO!$N$7,GRAFICO!$P$7,GRAFICO!$R$7,GRAFICO!$T$7,GRAFICO!$V$7,GRAFICO!$X$7,GRAFICO!$Z$7,GRAFICO!$AB$7,GRAFICO!$AD$7)</c:f>
              <c:numCache>
                <c:formatCode>m/d/yyyy</c:formatCode>
                <c:ptCount val="14"/>
                <c:pt idx="0" formatCode="General">
                  <c:v>0.25</c:v>
                </c:pt>
                <c:pt idx="1" formatCode="0.00">
                  <c:v>0.24904081569405279</c:v>
                </c:pt>
                <c:pt idx="2" formatCode="0.00">
                  <c:v>0.248187040583112</c:v>
                </c:pt>
                <c:pt idx="3" formatCode="0.00">
                  <c:v>0.24733605422076124</c:v>
                </c:pt>
                <c:pt idx="4" formatCode="0.00">
                  <c:v>0.24686647496866476</c:v>
                </c:pt>
                <c:pt idx="5" formatCode="0.00">
                  <c:v>0.24677398551748281</c:v>
                </c:pt>
                <c:pt idx="6" formatCode="0.00">
                  <c:v>0.24479388792084519</c:v>
                </c:pt>
                <c:pt idx="7" formatCode="0.00">
                  <c:v>0.24396004736027202</c:v>
                </c:pt>
                <c:pt idx="8" formatCode="0.00">
                  <c:v>0.2453694373706099</c:v>
                </c:pt>
                <c:pt idx="9" formatCode="0.00">
                  <c:v>0.24380904992202529</c:v>
                </c:pt>
                <c:pt idx="10" formatCode="0.00">
                  <c:v>0.24374545013346274</c:v>
                </c:pt>
                <c:pt idx="11" formatCode="0.00">
                  <c:v>0.24438294507633357</c:v>
                </c:pt>
                <c:pt idx="12" formatCode="0.00">
                  <c:v>0.24544138398665863</c:v>
                </c:pt>
                <c:pt idx="13" formatCode="0.00">
                  <c:v>0.24763483738158781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586400"/>
        <c:axId val="1206590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GRAFICO!$B$2:$AE$3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GRAFICO!$B$4:$AE$4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(GRAFICO!$D$4,GRAFICO!$F$4,GRAFICO!$H$4,GRAFICO!$J$4,GRAFICO!$L$4,GRAFICO!$N$4,GRAFICO!$P$4,GRAFICO!$R$4,GRAFICO!$T$4,GRAFICO!$V$4,GRAFICO!$X$4,GRAFICO!$Z$4,GRAFICO!$AB$4,GRAFICO!$AD$4)</c15:sqref>
                        </c15:formulaRef>
                      </c:ext>
                    </c:extLst>
                    <c:numCache>
                      <c:formatCode>m/d/yyyy</c:formatCode>
                      <c:ptCount val="14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GRAFICO!$B$2:$AE$3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GRAFICO!$B$5:$AE$5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(GRAFICO!$D$5,GRAFICO!$F$5,GRAFICO!$H$5,GRAFICO!$J$5,GRAFICO!$L$5,GRAFICO!$N$5,GRAFICO!$P$5,GRAFICO!$R$5,GRAFICO!$T$5,GRAFICO!$V$5,GRAFICO!$X$5,GRAFICO!$Z$5,GRAFICO!$AB$5,GRAFICO!$AD$5)</c15:sqref>
                        </c15:formulaRef>
                      </c:ext>
                    </c:extLst>
                    <c:numCache>
                      <c:formatCode>m/d/yyyy</c:formatCode>
                      <c:ptCount val="14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658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90752"/>
        <c:crosses val="autoZero"/>
        <c:auto val="1"/>
        <c:lblAlgn val="ctr"/>
        <c:lblOffset val="100"/>
        <c:noMultiLvlLbl val="0"/>
      </c:catAx>
      <c:valAx>
        <c:axId val="12065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8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GRAFICO!$B$4:$AC$4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(GRAFICO!$E$4,GRAFICO!$G$4,GRAFICO!$I$4,GRAFICO!$K$4,GRAFICO!$M$4,GRAFICO!$O$4,GRAFICO!$Q$4,GRAFICO!$S$4,GRAFICO!$U$4,GRAFICO!$W$4,GRAFICO!$Y$4,GRAFICO!$AA$4,GRAFICO!$AC$4)</c:f>
              <c:numCache>
                <c:formatCode>m/d/yyyy</c:formatCode>
                <c:ptCount val="13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GRAFICO!$B$5:$AC$5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(GRAFICO!$E$5,GRAFICO!$G$5,GRAFICO!$I$5,GRAFICO!$K$5,GRAFICO!$M$5,GRAFICO!$O$5,GRAFICO!$Q$5,GRAFICO!$S$5,GRAFICO!$U$5,GRAFICO!$W$5,GRAFICO!$Y$5,GRAFICO!$AA$5,GRAFICO!$AC$5)</c:f>
              <c:numCache>
                <c:formatCode>m/d/yyyy</c:formatCode>
                <c:ptCount val="13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588576"/>
        <c:axId val="1206589120"/>
      </c:lineChart>
      <c:catAx>
        <c:axId val="120658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89120"/>
        <c:crosses val="autoZero"/>
        <c:auto val="1"/>
        <c:lblAlgn val="ctr"/>
        <c:lblOffset val="100"/>
        <c:noMultiLvlLbl val="0"/>
      </c:catAx>
      <c:valAx>
        <c:axId val="120658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8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GRAFICO!$B$2:$AE$3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(GRAFICO!$E$2:$E$3,GRAFICO!$G$2:$G$3,GRAFICO!$I$2:$I$3,GRAFICO!$K$2:$K$3,GRAFICO!$M$2:$M$3,GRAFICO!$O$2:$O$3,GRAFICO!$Q$2:$Q$3,GRAFICO!$S$2:$S$3,GRAFICO!$U$2:$U$3,GRAFICO!$W$2:$W$3,GRAFICO!$Y$2:$Y$3,GRAFICO!$AA$2:$AA$3,GRAFICO!$AC$2:$AC$3,GRAFICO!$AE$2:$AE$3)</c:f>
              <c:multiLvlStrCache>
                <c:ptCount val="14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GRAFICO!$B$6:$AE$6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(GRAFICO!$E$6,GRAFICO!$G$6,GRAFICO!$I$6,GRAFICO!$K$6,GRAFICO!$M$6,GRAFICO!$O$6,GRAFICO!$Q$6,GRAFICO!$S$6,GRAFICO!$U$6,GRAFICO!$W$6,GRAFICO!$Y$6,GRAFICO!$AA$6,GRAFICO!$AC$6,GRAFICO!$AE$6)</c:f>
              <c:numCache>
                <c:formatCode>m/d/yyyy</c:formatCode>
                <c:ptCount val="14"/>
                <c:pt idx="0" formatCode="_(&quot;R$&quot;* #,##0.00_);_(&quot;R$&quot;* \(#,##0.00\);_(&quot;R$&quot;* &quot;-&quot;??_);_(@_)">
                  <c:v>5.01962301369863</c:v>
                </c:pt>
                <c:pt idx="1" formatCode="_(&quot;R$&quot;* #,##0.00_);_(&quot;R$&quot;* \(#,##0.00\);_(&quot;R$&quot;* &quot;-&quot;??_);_(@_)">
                  <c:v>4.9976071232876711</c:v>
                </c:pt>
                <c:pt idx="2" formatCode="_(&quot;R$&quot;* #,##0.00_);_(&quot;R$&quot;* \(#,##0.00\);_(&quot;R$&quot;* &quot;-&quot;??_);_(@_)">
                  <c:v>4.9755912328767122</c:v>
                </c:pt>
                <c:pt idx="3" formatCode="_(&quot;R$&quot;* #,##0.00_);_(&quot;R$&quot;* \(#,##0.00\);_(&quot;R$&quot;* &quot;-&quot;??_);_(@_)">
                  <c:v>4.9535753424657534</c:v>
                </c:pt>
                <c:pt idx="4" formatCode="_(&quot;R$&quot;* #,##0.00_);_(&quot;R$&quot;* \(#,##0.00\);_(&quot;R$&quot;* &quot;-&quot;??_);_(@_)">
                  <c:v>4.9425673972602748</c:v>
                </c:pt>
                <c:pt idx="5" formatCode="_(&quot;R$&quot;* #,##0.00_);_(&quot;R$&quot;* \(#,##0.00\);_(&quot;R$&quot;* &quot;-&quot;??_);_(@_)">
                  <c:v>4.9425673972602748</c:v>
                </c:pt>
                <c:pt idx="6" formatCode="_(&quot;R$&quot;* #,##0.00_);_(&quot;R$&quot;* \(#,##0.00\);_(&quot;R$&quot;* &quot;-&quot;??_);_(@_)">
                  <c:v>4.8875276712328777</c:v>
                </c:pt>
                <c:pt idx="7" formatCode="_(&quot;R$&quot;* #,##0.00_);_(&quot;R$&quot;* \(#,##0.00\);_(&quot;R$&quot;* &quot;-&quot;??_);_(@_)">
                  <c:v>4.8655117808219179</c:v>
                </c:pt>
                <c:pt idx="8" formatCode="_(&quot;R$&quot;* #,##0.00_);_(&quot;R$&quot;* \(#,##0.00\);_(&quot;R$&quot;* &quot;-&quot;??_);_(@_)">
                  <c:v>4.9095435616438357</c:v>
                </c:pt>
                <c:pt idx="9" formatCode="_(&quot;R$&quot;* #,##0.00_);_(&quot;R$&quot;* \(#,##0.00\);_(&quot;R$&quot;* &quot;-&quot;??_);_(@_)">
                  <c:v>4.8655117808219179</c:v>
                </c:pt>
                <c:pt idx="10" formatCode="_(&quot;R$&quot;* #,##0.00_);_(&quot;R$&quot;* \(#,##0.00\);_(&quot;R$&quot;* &quot;-&quot;??_);_(@_)">
                  <c:v>4.8655117808219179</c:v>
                </c:pt>
                <c:pt idx="11" formatCode="_(&quot;R$&quot;* #,##0.00_);_(&quot;R$&quot;* \(#,##0.00\);_(&quot;R$&quot;* &quot;-&quot;??_);_(@_)">
                  <c:v>4.8875276712328777</c:v>
                </c:pt>
                <c:pt idx="12" formatCode="_(&quot;R$&quot;* #,##0.00_);_(&quot;R$&quot;* \(#,##0.00\);_(&quot;R$&quot;* &quot;-&quot;??_);_(@_)">
                  <c:v>4.9205515068493151</c:v>
                </c:pt>
                <c:pt idx="13" formatCode="_(&quot;R$&quot;* #,##0.00_);_(&quot;R$&quot;* \(#,##0.00\);_(&quot;R$&quot;* &quot;-&quot;??_);_(@_)">
                  <c:v>4.7224084931506853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GRAFICO!$B$2:$AE$3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(GRAFICO!$E$2:$E$3,GRAFICO!$G$2:$G$3,GRAFICO!$I$2:$I$3,GRAFICO!$K$2:$K$3,GRAFICO!$M$2:$M$3,GRAFICO!$O$2:$O$3,GRAFICO!$Q$2:$Q$3,GRAFICO!$S$2:$S$3,GRAFICO!$U$2:$U$3,GRAFICO!$W$2:$W$3,GRAFICO!$Y$2:$Y$3,GRAFICO!$AA$2:$AA$3,GRAFICO!$AC$2:$AC$3,GRAFICO!$AE$2:$AE$3)</c:f>
              <c:multiLvlStrCache>
                <c:ptCount val="14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GRAFICO!$B$7:$AE$7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(GRAFICO!$E$7,GRAFICO!$G$7,GRAFICO!$I$7,GRAFICO!$K$7,GRAFICO!$M$7,GRAFICO!$O$7,GRAFICO!$Q$7,GRAFICO!$S$7,GRAFICO!$U$7,GRAFICO!$W$7,GRAFICO!$Y$7,GRAFICO!$AA$7,GRAFICO!$AC$7,GRAFICO!$AE$7)</c:f>
              <c:numCache>
                <c:formatCode>m/d/yyyy</c:formatCode>
                <c:ptCount val="14"/>
                <c:pt idx="0" formatCode="_(&quot;R$&quot;* #,##0.00_);_(&quot;R$&quot;* \(#,##0.00\);_(&quot;R$&quot;* &quot;-&quot;??_);_(@_)">
                  <c:v>4.8875276712328777</c:v>
                </c:pt>
                <c:pt idx="1" formatCode="_(&quot;R$&quot;* #,##0.00_);_(&quot;R$&quot;* \(#,##0.00\);_(&quot;R$&quot;* &quot;-&quot;??_);_(@_)">
                  <c:v>4.8655117808219179</c:v>
                </c:pt>
                <c:pt idx="2" formatCode="_(&quot;R$&quot;* #,##0.00_);_(&quot;R$&quot;* \(#,##0.00\);_(&quot;R$&quot;* &quot;-&quot;??_);_(@_)">
                  <c:v>4.8434958904109591</c:v>
                </c:pt>
                <c:pt idx="3" formatCode="_(&quot;R$&quot;* #,##0.00_);_(&quot;R$&quot;* \(#,##0.00\);_(&quot;R$&quot;* &quot;-&quot;??_);_(@_)">
                  <c:v>4.8214800000000002</c:v>
                </c:pt>
                <c:pt idx="4" formatCode="_(&quot;R$&quot;* #,##0.00_);_(&quot;R$&quot;* \(#,##0.00\);_(&quot;R$&quot;* &quot;-&quot;??_);_(@_)">
                  <c:v>4.8104720547945208</c:v>
                </c:pt>
                <c:pt idx="5" formatCode="_(&quot;R$&quot;* #,##0.00_);_(&quot;R$&quot;* \(#,##0.00\);_(&quot;R$&quot;* &quot;-&quot;??_);_(@_)">
                  <c:v>4.8104720547945208</c:v>
                </c:pt>
                <c:pt idx="6" formatCode="_(&quot;R$&quot;* #,##0.00_);_(&quot;R$&quot;* \(#,##0.00\);_(&quot;R$&quot;* &quot;-&quot;??_);_(@_)">
                  <c:v>4.7554323287671245</c:v>
                </c:pt>
                <c:pt idx="7" formatCode="_(&quot;R$&quot;* #,##0.00_);_(&quot;R$&quot;* \(#,##0.00\);_(&quot;R$&quot;* &quot;-&quot;??_);_(@_)">
                  <c:v>4.7334164383561648</c:v>
                </c:pt>
                <c:pt idx="8" formatCode="_(&quot;R$&quot;* #,##0.00_);_(&quot;R$&quot;* \(#,##0.00\);_(&quot;R$&quot;* &quot;-&quot;??_);_(@_)">
                  <c:v>4.7774482191780825</c:v>
                </c:pt>
                <c:pt idx="9" formatCode="_(&quot;R$&quot;* #,##0.00_);_(&quot;R$&quot;* \(#,##0.00\);_(&quot;R$&quot;* &quot;-&quot;??_);_(@_)">
                  <c:v>4.7334164383561648</c:v>
                </c:pt>
                <c:pt idx="10" formatCode="_(&quot;R$&quot;* #,##0.00_);_(&quot;R$&quot;* \(#,##0.00\);_(&quot;R$&quot;* &quot;-&quot;??_);_(@_)">
                  <c:v>4.7334164383561648</c:v>
                </c:pt>
                <c:pt idx="11" formatCode="_(&quot;R$&quot;* #,##0.00_);_(&quot;R$&quot;* \(#,##0.00\);_(&quot;R$&quot;* &quot;-&quot;??_);_(@_)">
                  <c:v>4.7554323287671245</c:v>
                </c:pt>
                <c:pt idx="12" formatCode="_(&quot;R$&quot;* #,##0.00_);_(&quot;R$&quot;* \(#,##0.00\);_(&quot;R$&quot;* &quot;-&quot;??_);_(@_)">
                  <c:v>4.788456164383561</c:v>
                </c:pt>
                <c:pt idx="13" formatCode="_(&quot;R$&quot;* #,##0.00_);_(&quot;R$&quot;* \(#,##0.00\);_(&quot;R$&quot;* &quot;-&quot;??_);_(@_)">
                  <c:v>4.8545038356164385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590208"/>
        <c:axId val="1206591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GRAFICO!$B$2:$AE$3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GRAFICO!$B$4:$AE$4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(GRAFICO!$E$4,GRAFICO!$G$4,GRAFICO!$I$4,GRAFICO!$K$4,GRAFICO!$M$4,GRAFICO!$O$4,GRAFICO!$Q$4,GRAFICO!$S$4,GRAFICO!$U$4,GRAFICO!$W$4,GRAFICO!$Y$4,GRAFICO!$AA$4,GRAFICO!$AC$4,GRAFICO!$AE$4)</c15:sqref>
                        </c15:formulaRef>
                      </c:ext>
                    </c:extLst>
                    <c:numCache>
                      <c:formatCode>m/d/yyyy</c:formatCode>
                      <c:ptCount val="14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GRAFICO!$B$2:$AE$3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GRAFICO!$B$5:$AE$5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(GRAFICO!$E$5,GRAFICO!$G$5,GRAFICO!$I$5,GRAFICO!$K$5,GRAFICO!$M$5,GRAFICO!$O$5,GRAFICO!$Q$5,GRAFICO!$S$5,GRAFICO!$U$5,GRAFICO!$W$5,GRAFICO!$Y$5,GRAFICO!$AA$5,GRAFICO!$AC$5,GRAFICO!$AE$5)</c15:sqref>
                        </c15:formulaRef>
                      </c:ext>
                    </c:extLst>
                    <c:numCache>
                      <c:formatCode>m/d/yyyy</c:formatCode>
                      <c:ptCount val="14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659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91296"/>
        <c:crosses val="autoZero"/>
        <c:auto val="1"/>
        <c:lblAlgn val="ctr"/>
        <c:lblOffset val="100"/>
        <c:noMultiLvlLbl val="0"/>
      </c:catAx>
      <c:valAx>
        <c:axId val="120659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9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GRAFICO!$B$6:$AC$6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5.01962301369863</c:v>
                </c:pt>
                <c:pt idx="1" formatCode="_(&quot;R$&quot;* #,##0.00_);_(&quot;R$&quot;* \(#,##0.00\);_(&quot;R$&quot;* &quot;-&quot;??_);_(@_)">
                  <c:v>4.9976071232876711</c:v>
                </c:pt>
                <c:pt idx="2" formatCode="_(&quot;R$&quot;* #,##0.00_);_(&quot;R$&quot;* \(#,##0.00\);_(&quot;R$&quot;* &quot;-&quot;??_);_(@_)">
                  <c:v>4.9755912328767122</c:v>
                </c:pt>
                <c:pt idx="3" formatCode="_(&quot;R$&quot;* #,##0.00_);_(&quot;R$&quot;* \(#,##0.00\);_(&quot;R$&quot;* &quot;-&quot;??_);_(@_)">
                  <c:v>4.9535753424657534</c:v>
                </c:pt>
                <c:pt idx="4" formatCode="_(&quot;R$&quot;* #,##0.00_);_(&quot;R$&quot;* \(#,##0.00\);_(&quot;R$&quot;* &quot;-&quot;??_);_(@_)">
                  <c:v>4.9425673972602748</c:v>
                </c:pt>
                <c:pt idx="5" formatCode="_(&quot;R$&quot;* #,##0.00_);_(&quot;R$&quot;* \(#,##0.00\);_(&quot;R$&quot;* &quot;-&quot;??_);_(@_)">
                  <c:v>4.9425673972602748</c:v>
                </c:pt>
                <c:pt idx="6" formatCode="_(&quot;R$&quot;* #,##0.00_);_(&quot;R$&quot;* \(#,##0.00\);_(&quot;R$&quot;* &quot;-&quot;??_);_(@_)">
                  <c:v>4.8875276712328777</c:v>
                </c:pt>
                <c:pt idx="7" formatCode="_(&quot;R$&quot;* #,##0.00_);_(&quot;R$&quot;* \(#,##0.00\);_(&quot;R$&quot;* &quot;-&quot;??_);_(@_)">
                  <c:v>4.8655117808219179</c:v>
                </c:pt>
                <c:pt idx="8" formatCode="_(&quot;R$&quot;* #,##0.00_);_(&quot;R$&quot;* \(#,##0.00\);_(&quot;R$&quot;* &quot;-&quot;??_);_(@_)">
                  <c:v>4.9095435616438357</c:v>
                </c:pt>
                <c:pt idx="9" formatCode="_(&quot;R$&quot;* #,##0.00_);_(&quot;R$&quot;* \(#,##0.00\);_(&quot;R$&quot;* &quot;-&quot;??_);_(@_)">
                  <c:v>4.8655117808219179</c:v>
                </c:pt>
                <c:pt idx="10" formatCode="_(&quot;R$&quot;* #,##0.00_);_(&quot;R$&quot;* \(#,##0.00\);_(&quot;R$&quot;* &quot;-&quot;??_);_(@_)">
                  <c:v>4.8655117808219179</c:v>
                </c:pt>
                <c:pt idx="11" formatCode="_(&quot;R$&quot;* #,##0.00_);_(&quot;R$&quot;* \(#,##0.00\);_(&quot;R$&quot;* &quot;-&quot;??_);_(@_)">
                  <c:v>4.8875276712328777</c:v>
                </c:pt>
                <c:pt idx="12" formatCode="_(&quot;R$&quot;* #,##0.00_);_(&quot;R$&quot;* \(#,##0.00\);_(&quot;R$&quot;* &quot;-&quot;??_);_(@_)">
                  <c:v>4.9205515068493151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GRAFICO!$B$7:$AC$7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4.8875276712328777</c:v>
                </c:pt>
                <c:pt idx="1" formatCode="_(&quot;R$&quot;* #,##0.00_);_(&quot;R$&quot;* \(#,##0.00\);_(&quot;R$&quot;* &quot;-&quot;??_);_(@_)">
                  <c:v>4.8655117808219179</c:v>
                </c:pt>
                <c:pt idx="2" formatCode="_(&quot;R$&quot;* #,##0.00_);_(&quot;R$&quot;* \(#,##0.00\);_(&quot;R$&quot;* &quot;-&quot;??_);_(@_)">
                  <c:v>4.8434958904109591</c:v>
                </c:pt>
                <c:pt idx="3" formatCode="_(&quot;R$&quot;* #,##0.00_);_(&quot;R$&quot;* \(#,##0.00\);_(&quot;R$&quot;* &quot;-&quot;??_);_(@_)">
                  <c:v>4.8214800000000002</c:v>
                </c:pt>
                <c:pt idx="4" formatCode="_(&quot;R$&quot;* #,##0.00_);_(&quot;R$&quot;* \(#,##0.00\);_(&quot;R$&quot;* &quot;-&quot;??_);_(@_)">
                  <c:v>4.8104720547945208</c:v>
                </c:pt>
                <c:pt idx="5" formatCode="_(&quot;R$&quot;* #,##0.00_);_(&quot;R$&quot;* \(#,##0.00\);_(&quot;R$&quot;* &quot;-&quot;??_);_(@_)">
                  <c:v>4.8104720547945208</c:v>
                </c:pt>
                <c:pt idx="6" formatCode="_(&quot;R$&quot;* #,##0.00_);_(&quot;R$&quot;* \(#,##0.00\);_(&quot;R$&quot;* &quot;-&quot;??_);_(@_)">
                  <c:v>4.7554323287671245</c:v>
                </c:pt>
                <c:pt idx="7" formatCode="_(&quot;R$&quot;* #,##0.00_);_(&quot;R$&quot;* \(#,##0.00\);_(&quot;R$&quot;* &quot;-&quot;??_);_(@_)">
                  <c:v>4.7334164383561648</c:v>
                </c:pt>
                <c:pt idx="8" formatCode="_(&quot;R$&quot;* #,##0.00_);_(&quot;R$&quot;* \(#,##0.00\);_(&quot;R$&quot;* &quot;-&quot;??_);_(@_)">
                  <c:v>4.7774482191780825</c:v>
                </c:pt>
                <c:pt idx="9" formatCode="_(&quot;R$&quot;* #,##0.00_);_(&quot;R$&quot;* \(#,##0.00\);_(&quot;R$&quot;* &quot;-&quot;??_);_(@_)">
                  <c:v>4.7334164383561648</c:v>
                </c:pt>
                <c:pt idx="10" formatCode="_(&quot;R$&quot;* #,##0.00_);_(&quot;R$&quot;* \(#,##0.00\);_(&quot;R$&quot;* &quot;-&quot;??_);_(@_)">
                  <c:v>4.7334164383561648</c:v>
                </c:pt>
                <c:pt idx="11" formatCode="_(&quot;R$&quot;* #,##0.00_);_(&quot;R$&quot;* \(#,##0.00\);_(&quot;R$&quot;* &quot;-&quot;??_);_(@_)">
                  <c:v>4.7554323287671245</c:v>
                </c:pt>
                <c:pt idx="12" formatCode="_(&quot;R$&quot;* #,##0.00_);_(&quot;R$&quot;* \(#,##0.00\);_(&quot;R$&quot;* &quot;-&quot;??_);_(@_)">
                  <c:v>4.788456164383561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596736"/>
        <c:axId val="1206591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GRAFICO!$B$4:$AC$4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GRAFICO!$B$5:$AC$5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659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91840"/>
        <c:crosses val="autoZero"/>
        <c:auto val="1"/>
        <c:lblAlgn val="ctr"/>
        <c:lblOffset val="100"/>
        <c:noMultiLvlLbl val="0"/>
      </c:catAx>
      <c:valAx>
        <c:axId val="120659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9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sqref="A1:XFD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A4" workbookViewId="0">
      <selection activeCell="J16" sqref="J16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</row>
    <row r="6" spans="1:120" s="48" customFormat="1" x14ac:dyDescent="0.25">
      <c r="A6" s="46" t="s">
        <v>16</v>
      </c>
      <c r="B6" s="49">
        <f>'020519'!C2</f>
        <v>401.79</v>
      </c>
      <c r="C6" s="50">
        <v>43587</v>
      </c>
      <c r="D6" s="56">
        <f>$B$6/E4</f>
        <v>0.25463106728435353</v>
      </c>
      <c r="E6" s="54">
        <f>(D4/365)*$B$6</f>
        <v>5.01962301369863</v>
      </c>
      <c r="F6" s="56">
        <f t="shared" ref="F6:AE6" si="0">$B$6/G4</f>
        <v>0.25365530303030304</v>
      </c>
      <c r="G6" s="54">
        <f t="shared" ref="G6:AE6" si="1">(F4/365)*$B$6</f>
        <v>4.9976071232876711</v>
      </c>
      <c r="H6" s="56">
        <f t="shared" ref="H6:AE6" si="2">$B$6/I4</f>
        <v>0.25278396436525613</v>
      </c>
      <c r="I6" s="54">
        <f t="shared" ref="I6:AE6" si="3">(H4/365)*$B$6</f>
        <v>4.9755912328767122</v>
      </c>
      <c r="J6" s="56">
        <f t="shared" ref="J6:AE6" si="4">$B$6/K4</f>
        <v>0.251917012031876</v>
      </c>
      <c r="K6" s="54">
        <f t="shared" ref="K6:AE6" si="5">(J4/365)*$B$6</f>
        <v>4.9535753424657534</v>
      </c>
      <c r="L6" s="56">
        <f t="shared" ref="L6:AE6" si="6">$B$6/M4</f>
        <v>0.25143776166010628</v>
      </c>
      <c r="M6" s="54">
        <f t="shared" ref="M6:AE6" si="7">(L4/365)*$B$6</f>
        <v>4.9425673972602748</v>
      </c>
      <c r="N6" s="56">
        <f t="shared" ref="N6:AE6" si="8">$B$6/O4</f>
        <v>0.25134338815316193</v>
      </c>
      <c r="O6" s="54">
        <f t="shared" ref="O6:AE6" si="9">(N4/365)*$B$6</f>
        <v>4.9425673972602748</v>
      </c>
      <c r="P6" s="56">
        <f t="shared" ref="P6:AE6" si="10">$B$6/Q4</f>
        <v>0.24932826142265854</v>
      </c>
      <c r="Q6" s="54">
        <f t="shared" ref="Q6:AE6" si="11">(P4/365)*$B$6</f>
        <v>4.8875276712328777</v>
      </c>
      <c r="R6" s="56">
        <f t="shared" ref="R6:AE6" si="12">$B$6/S4</f>
        <v>0.24847712753786311</v>
      </c>
      <c r="S6" s="54">
        <f t="shared" ref="S6:AE6" si="13">(R4/365)*$B$6</f>
        <v>4.8655117808219179</v>
      </c>
      <c r="T6" s="56">
        <f t="shared" ref="T6:AE6" si="14">$B$6/U4</f>
        <v>0.24990981128789483</v>
      </c>
      <c r="U6" s="54">
        <f t="shared" ref="U6:AE6" si="15">(T4/365)*$B$6</f>
        <v>4.9095435616438357</v>
      </c>
      <c r="V6" s="56">
        <f t="shared" ref="V6:AE6" si="16">$B$6/W4</f>
        <v>0.24832202321355731</v>
      </c>
      <c r="W6" s="54">
        <f t="shared" ref="W6:AE6" si="17">(V4/365)*$B$6</f>
        <v>4.8655117808219179</v>
      </c>
      <c r="X6" s="56">
        <f t="shared" ref="X6:AE6" si="18">$B$6/Y4</f>
        <v>0.2482560474528098</v>
      </c>
      <c r="Y6" s="54">
        <f t="shared" ref="Y6:AE6" si="19">(X4/365)*$B$6</f>
        <v>4.8655117808219179</v>
      </c>
      <c r="Z6" s="56">
        <f t="shared" ref="Z6:AE6" si="20">$B$6/AA4</f>
        <v>0.24890196685767385</v>
      </c>
      <c r="AA6" s="54">
        <f t="shared" ref="AA6:AE6" si="21">(Z4/365)*$B$6</f>
        <v>4.8875276712328777</v>
      </c>
      <c r="AB6" s="56">
        <f t="shared" ref="AB6:AE6" si="22">$B$6/AC4</f>
        <v>0.24997822435139677</v>
      </c>
      <c r="AC6" s="54">
        <f t="shared" ref="AC6:AE6" si="23">(AB4/365)*$B$6</f>
        <v>4.9205515068493151</v>
      </c>
      <c r="AD6" s="56">
        <f t="shared" ref="AD6:AE6" si="24">$B$6/AE4</f>
        <v>0.24313922457352755</v>
      </c>
      <c r="AE6" s="54">
        <f t="shared" ref="AE6:AE7" si="25">(AD4/365)*$B$6</f>
        <v>4.7224084931506853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(D5/365)*$B$6</f>
        <v>4.8875276712328777</v>
      </c>
      <c r="F7" s="56">
        <f t="shared" ref="F7:AE7" si="26">$B$7/G5</f>
        <v>0.24904081569405279</v>
      </c>
      <c r="G7" s="54">
        <f t="shared" ref="G7:AE7" si="27">(F5/365)*$B$6</f>
        <v>4.8655117808219179</v>
      </c>
      <c r="H7" s="56">
        <f t="shared" ref="H7:AE7" si="28">$B$7/I5</f>
        <v>0.248187040583112</v>
      </c>
      <c r="I7" s="54">
        <f t="shared" ref="I7:AE7" si="29">(H5/365)*$B$6</f>
        <v>4.8434958904109591</v>
      </c>
      <c r="J7" s="56">
        <f t="shared" ref="J7:AE7" si="30">$B$7/K5</f>
        <v>0.24733605422076124</v>
      </c>
      <c r="K7" s="54">
        <f t="shared" ref="K7:AE7" si="31">(J5/365)*$B$6</f>
        <v>4.8214800000000002</v>
      </c>
      <c r="L7" s="56">
        <f t="shared" ref="L7:AE7" si="32">$B$7/M5</f>
        <v>0.24686647496866476</v>
      </c>
      <c r="M7" s="54">
        <f t="shared" ref="M7:AE7" si="33">(L5/365)*$B$6</f>
        <v>4.8104720547945208</v>
      </c>
      <c r="N7" s="56">
        <f t="shared" ref="N7:AE7" si="34">$B$7/O5</f>
        <v>0.24677398551748281</v>
      </c>
      <c r="O7" s="54">
        <f t="shared" ref="O7:AE7" si="35">(N5/365)*$B$6</f>
        <v>4.8104720547945208</v>
      </c>
      <c r="P7" s="56">
        <f t="shared" ref="P7:AE7" si="36">$B$7/Q5</f>
        <v>0.24479388792084519</v>
      </c>
      <c r="Q7" s="54">
        <f t="shared" ref="Q7:AE7" si="37">(P5/365)*$B$6</f>
        <v>4.7554323287671245</v>
      </c>
      <c r="R7" s="56">
        <f t="shared" ref="R7:AE7" si="38">$B$7/S5</f>
        <v>0.24396004736027202</v>
      </c>
      <c r="S7" s="54">
        <f t="shared" ref="S7:AE7" si="39">(R5/365)*$B$6</f>
        <v>4.7334164383561648</v>
      </c>
      <c r="T7" s="56">
        <f t="shared" ref="T7:AE7" si="40">$B$7/U5</f>
        <v>0.2453694373706099</v>
      </c>
      <c r="U7" s="54">
        <f t="shared" ref="U7:AE7" si="41">(T5/365)*$B$6</f>
        <v>4.7774482191780825</v>
      </c>
      <c r="V7" s="56">
        <f t="shared" ref="V7:AE7" si="42">$B$7/W5</f>
        <v>0.24380904992202529</v>
      </c>
      <c r="W7" s="54">
        <f t="shared" ref="W7:AE7" si="43">(V5/365)*$B$6</f>
        <v>4.7334164383561648</v>
      </c>
      <c r="X7" s="56">
        <f t="shared" ref="X7:AE7" si="44">$B$7/Y5</f>
        <v>0.24374545013346274</v>
      </c>
      <c r="Y7" s="54">
        <f t="shared" ref="Y7:AE7" si="45">(X5/365)*$B$6</f>
        <v>4.7334164383561648</v>
      </c>
      <c r="Z7" s="56">
        <f t="shared" ref="Z7:AE7" si="46">$B$7/AA5</f>
        <v>0.24438294507633357</v>
      </c>
      <c r="AA7" s="54">
        <f t="shared" ref="AA7:AE7" si="47">(Z5/365)*$B$6</f>
        <v>4.7554323287671245</v>
      </c>
      <c r="AB7" s="56">
        <f t="shared" ref="AB7:AE7" si="48">$B$7/AC5</f>
        <v>0.24544138398665863</v>
      </c>
      <c r="AC7" s="54">
        <f t="shared" ref="AC7:AE7" si="49">(AB5/365)*$B$6</f>
        <v>4.788456164383561</v>
      </c>
      <c r="AD7" s="56">
        <f t="shared" ref="AD7:AE7" si="50">$B$7/AE5</f>
        <v>0.24763483738158781</v>
      </c>
      <c r="AE7" s="54">
        <f t="shared" si="25"/>
        <v>4.8545038356164385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2019-05-21T13:43:23Z</dcterms:modified>
</cp:coreProperties>
</file>