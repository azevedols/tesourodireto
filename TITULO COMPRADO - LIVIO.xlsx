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1"/>
  </bookViews>
  <sheets>
    <sheet name="020519" sheetId="1" r:id="rId1"/>
    <sheet name="PLANILHAS" sheetId="2" r:id="rId2"/>
  </sheets>
  <externalReferences>
    <externalReference r:id="rId3"/>
    <externalReference r:id="rId4"/>
  </externalReferences>
  <calcPr calcId="152511"/>
</workbook>
</file>

<file path=xl/calcChain.xml><?xml version="1.0" encoding="utf-8"?>
<calcChain xmlns="http://schemas.openxmlformats.org/spreadsheetml/2006/main">
  <c r="F7" i="2" l="1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E7" i="2"/>
  <c r="D7" i="2"/>
  <c r="B7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F6" i="2"/>
  <c r="G6" i="2"/>
  <c r="E6" i="2"/>
  <c r="D6" i="2"/>
  <c r="B6" i="2"/>
  <c r="H2" i="1"/>
  <c r="G2" i="1"/>
  <c r="E2" i="1"/>
  <c r="F2" i="1"/>
  <c r="A2" i="1"/>
</calcChain>
</file>

<file path=xl/sharedStrings.xml><?xml version="1.0" encoding="utf-8"?>
<sst xmlns="http://schemas.openxmlformats.org/spreadsheetml/2006/main" count="47" uniqueCount="18">
  <si>
    <t>DATA COMPRA</t>
  </si>
  <si>
    <t>VALOR COMPRADO</t>
  </si>
  <si>
    <t>FRAÇÃO</t>
  </si>
  <si>
    <t>VALOR TITULO NA COMPRA</t>
  </si>
  <si>
    <t>TÍTULO COMPRADO</t>
  </si>
  <si>
    <t>VALOR TITULO VENDA</t>
  </si>
  <si>
    <t>TAXA JUROS COMPRA (%)</t>
  </si>
  <si>
    <t>TAXA JUROS VENDA (%)</t>
  </si>
  <si>
    <t>Tesouro IPCA+ 2035</t>
  </si>
  <si>
    <t>Título</t>
  </si>
  <si>
    <t>Vencimento</t>
  </si>
  <si>
    <t>Taxa de Rendimento (% a.a.)</t>
  </si>
  <si>
    <t>Preço Unitário</t>
  </si>
  <si>
    <t>Dia/Mês</t>
  </si>
  <si>
    <t>VENDA</t>
  </si>
  <si>
    <t>COMPRA</t>
  </si>
  <si>
    <t>TITULO VENDA</t>
  </si>
  <si>
    <t>TITULO COMPRA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</si>
</sst>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rgb="FFB2B2B2"/>
      </patternFill>
    </fill>
    <fill>
      <patternFill patternType="solid">
        <fgColor rgb="FFB2B2B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 applyBorder="1" applyAlignment="1">
      <alignment horizontal="center"/>
    </xf>
    <xf numFmtId="8" fontId="2" fillId="0" borderId="0" xfId="0" applyNumberFormat="1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14" fontId="2" fillId="0" borderId="0" xfId="0" applyNumberFormat="1" applyFont="1" applyBorder="1" applyAlignment="1"/>
    <xf numFmtId="0" fontId="2" fillId="0" borderId="0" xfId="0" applyFont="1" applyFill="1" applyBorder="1" applyAlignment="1">
      <alignment horizontal="center"/>
    </xf>
    <xf numFmtId="8" fontId="0" fillId="0" borderId="0" xfId="0" applyNumberFormat="1"/>
    <xf numFmtId="0" fontId="2" fillId="0" borderId="0" xfId="1" applyNumberFormat="1" applyFont="1" applyBorder="1" applyAlignment="1">
      <alignment horizontal="center"/>
    </xf>
    <xf numFmtId="0" fontId="2" fillId="0" borderId="0" xfId="1" applyNumberFormat="1" applyFont="1" applyBorder="1" applyAlignment="1">
      <alignment horizontal="right"/>
    </xf>
    <xf numFmtId="0" fontId="0" fillId="0" borderId="0" xfId="1" applyNumberFormat="1" applyFont="1"/>
    <xf numFmtId="0" fontId="2" fillId="0" borderId="0" xfId="0" applyNumberFormat="1" applyFont="1" applyBorder="1" applyAlignment="1">
      <alignment horizontal="center"/>
    </xf>
    <xf numFmtId="0" fontId="2" fillId="0" borderId="0" xfId="0" applyNumberFormat="1" applyFont="1" applyBorder="1" applyAlignment="1">
      <alignment horizontal="right"/>
    </xf>
    <xf numFmtId="0" fontId="0" fillId="0" borderId="0" xfId="0" applyNumberFormat="1"/>
    <xf numFmtId="14" fontId="3" fillId="2" borderId="2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8" fontId="3" fillId="3" borderId="2" xfId="0" applyNumberFormat="1" applyFont="1" applyFill="1" applyBorder="1" applyAlignment="1">
      <alignment horizontal="center" wrapText="1"/>
    </xf>
    <xf numFmtId="0" fontId="3" fillId="3" borderId="0" xfId="0" applyFont="1" applyFill="1" applyBorder="1" applyAlignment="1">
      <alignment horizontal="center" wrapText="1"/>
    </xf>
    <xf numFmtId="0" fontId="3" fillId="3" borderId="1" xfId="0" applyFont="1" applyFill="1" applyBorder="1" applyAlignment="1">
      <alignment horizontal="center" vertical="center"/>
    </xf>
    <xf numFmtId="8" fontId="3" fillId="3" borderId="2" xfId="0" applyNumberFormat="1" applyFont="1" applyFill="1" applyBorder="1" applyAlignment="1">
      <alignment horizontal="center" vertical="center"/>
    </xf>
    <xf numFmtId="164" fontId="3" fillId="3" borderId="0" xfId="0" applyNumberFormat="1" applyFont="1" applyFill="1" applyBorder="1" applyAlignment="1">
      <alignment horizontal="center" wrapText="1"/>
    </xf>
    <xf numFmtId="164" fontId="3" fillId="3" borderId="2" xfId="0" applyNumberFormat="1" applyFont="1" applyFill="1" applyBorder="1" applyAlignment="1">
      <alignment horizontal="center" wrapText="1"/>
    </xf>
    <xf numFmtId="0" fontId="0" fillId="0" borderId="0" xfId="0" applyFont="1" applyAlignment="1"/>
    <xf numFmtId="0" fontId="4" fillId="4" borderId="3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left"/>
    </xf>
    <xf numFmtId="0" fontId="4" fillId="5" borderId="3" xfId="0" applyFont="1" applyFill="1" applyBorder="1" applyAlignment="1">
      <alignment wrapText="1"/>
    </xf>
    <xf numFmtId="165" fontId="3" fillId="2" borderId="0" xfId="0" applyNumberFormat="1" applyFont="1" applyFill="1" applyBorder="1" applyAlignment="1">
      <alignment horizontal="center"/>
    </xf>
    <xf numFmtId="165" fontId="3" fillId="2" borderId="6" xfId="0" applyNumberFormat="1" applyFont="1" applyFill="1" applyBorder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2" borderId="8" xfId="0" applyNumberFormat="1" applyFont="1" applyFill="1" applyBorder="1" applyAlignment="1">
      <alignment horizontal="center"/>
    </xf>
    <xf numFmtId="165" fontId="3" fillId="2" borderId="9" xfId="0" applyNumberFormat="1" applyFont="1" applyFill="1" applyBorder="1" applyAlignment="1">
      <alignment horizontal="center"/>
    </xf>
    <xf numFmtId="16" fontId="3" fillId="3" borderId="8" xfId="0" applyNumberFormat="1" applyFont="1" applyFill="1" applyBorder="1" applyAlignment="1">
      <alignment horizontal="center" wrapText="1"/>
    </xf>
    <xf numFmtId="16" fontId="3" fillId="3" borderId="9" xfId="0" applyNumberFormat="1" applyFont="1" applyFill="1" applyBorder="1" applyAlignment="1">
      <alignment horizontal="center" wrapText="1"/>
    </xf>
    <xf numFmtId="16" fontId="3" fillId="3" borderId="10" xfId="0" applyNumberFormat="1" applyFont="1" applyFill="1" applyBorder="1" applyAlignment="1">
      <alignment horizontal="center" wrapText="1"/>
    </xf>
    <xf numFmtId="0" fontId="3" fillId="2" borderId="0" xfId="0" applyFont="1" applyFill="1" applyBorder="1" applyAlignment="1">
      <alignment horizontal="left"/>
    </xf>
    <xf numFmtId="0" fontId="0" fillId="0" borderId="11" xfId="0" applyFont="1" applyBorder="1" applyAlignment="1"/>
    <xf numFmtId="0" fontId="3" fillId="2" borderId="8" xfId="0" applyFont="1" applyFill="1" applyBorder="1" applyAlignment="1">
      <alignment horizontal="left"/>
    </xf>
    <xf numFmtId="14" fontId="3" fillId="2" borderId="9" xfId="0" applyNumberFormat="1" applyFont="1" applyFill="1" applyBorder="1" applyAlignment="1">
      <alignment horizontal="center"/>
    </xf>
    <xf numFmtId="0" fontId="3" fillId="3" borderId="10" xfId="0" applyFont="1" applyFill="1" applyBorder="1" applyAlignment="1">
      <alignment wrapText="1"/>
    </xf>
    <xf numFmtId="14" fontId="3" fillId="3" borderId="10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8" fontId="3" fillId="3" borderId="9" xfId="0" applyNumberFormat="1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vertical="center"/>
    </xf>
    <xf numFmtId="8" fontId="3" fillId="3" borderId="9" xfId="0" applyNumberFormat="1" applyFont="1" applyFill="1" applyBorder="1" applyAlignment="1">
      <alignment horizontal="center" vertical="center"/>
    </xf>
    <xf numFmtId="8" fontId="3" fillId="3" borderId="10" xfId="0" applyNumberFormat="1" applyFont="1" applyFill="1" applyBorder="1" applyAlignment="1">
      <alignment horizontal="center" vertical="center"/>
    </xf>
    <xf numFmtId="0" fontId="0" fillId="0" borderId="10" xfId="0" applyFont="1" applyBorder="1" applyAlignment="1"/>
    <xf numFmtId="0" fontId="0" fillId="0" borderId="3" xfId="0" applyFont="1" applyBorder="1" applyAlignment="1"/>
    <xf numFmtId="8" fontId="0" fillId="0" borderId="0" xfId="1" applyNumberFormat="1" applyFont="1"/>
    <xf numFmtId="2" fontId="0" fillId="0" borderId="0" xfId="0" applyNumberFormat="1"/>
    <xf numFmtId="0" fontId="0" fillId="0" borderId="3" xfId="0" applyBorder="1"/>
    <xf numFmtId="0" fontId="0" fillId="0" borderId="0" xfId="0" applyFont="1" applyBorder="1" applyAlignment="1"/>
    <xf numFmtId="0" fontId="0" fillId="0" borderId="0" xfId="0" applyBorder="1"/>
    <xf numFmtId="8" fontId="0" fillId="0" borderId="4" xfId="0" applyNumberFormat="1" applyBorder="1"/>
    <xf numFmtId="14" fontId="2" fillId="0" borderId="5" xfId="0" applyNumberFormat="1" applyFont="1" applyBorder="1" applyAlignment="1"/>
    <xf numFmtId="2" fontId="0" fillId="0" borderId="5" xfId="0" applyNumberFormat="1" applyBorder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TAXA JUROS</a:t>
            </a:r>
            <a:r>
              <a:rPr lang="pt-BR" baseline="0"/>
              <a:t> DIA -A - DIA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PLANILHAS!$A$4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PLANILHAS!$B$2:$AC$3</c15:sqref>
                  </c15:fullRef>
                </c:ext>
              </c:extLst>
              <c:f>(PLANILHAS!$D$2:$D$3,PLANILHAS!$F$2:$F$3,PLANILHAS!$H$2:$H$3,PLANILHAS!$J$2:$J$3,PLANILHAS!$L$2:$L$3,PLANILHAS!$N$2:$N$3,PLANILHAS!$P$2:$P$3,PLANILHAS!$R$2:$R$3,PLANILHAS!$T$2:$T$3,PLANILHAS!$V$2:$V$3,PLANILHAS!$X$2:$X$3,PLANILHAS!$Z$2:$Z$3,PLANILHAS!$AB$2:$AB$3)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PLANILHAS!$B$4:$AC$4</c15:sqref>
                  </c15:fullRef>
                </c:ext>
              </c:extLst>
              <c:f>(PLANILHAS!$D$4,PLANILHAS!$F$4,PLANILHAS!$H$4,PLANILHAS!$J$4,PLANILHAS!$L$4,PLANILHAS!$N$4,PLANILHAS!$P$4,PLANILHAS!$R$4,PLANILHAS!$T$4,PLANILHAS!$V$4,PLANILHAS!$X$4,PLANILHAS!$Z$4,PLANILHAS!$AB$4)</c:f>
              <c:numCache>
                <c:formatCode>m/d/yyyy</c:formatCode>
                <c:ptCount val="13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PLANILHAS!$A$5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PLANILHAS!$B$2:$AC$3</c15:sqref>
                  </c15:fullRef>
                </c:ext>
              </c:extLst>
              <c:f>(PLANILHAS!$D$2:$D$3,PLANILHAS!$F$2:$F$3,PLANILHAS!$H$2:$H$3,PLANILHAS!$J$2:$J$3,PLANILHAS!$L$2:$L$3,PLANILHAS!$N$2:$N$3,PLANILHAS!$P$2:$P$3,PLANILHAS!$R$2:$R$3,PLANILHAS!$T$2:$T$3,PLANILHAS!$V$2:$V$3,PLANILHAS!$X$2:$X$3,PLANILHAS!$Z$2:$Z$3,PLANILHAS!$AB$2:$AB$3)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PLANILHAS!$B$5:$AC$5</c15:sqref>
                  </c15:fullRef>
                </c:ext>
              </c:extLst>
              <c:f>(PLANILHAS!$D$5,PLANILHAS!$F$5,PLANILHAS!$H$5,PLANILHAS!$J$5,PLANILHAS!$L$5,PLANILHAS!$N$5,PLANILHAS!$P$5,PLANILHAS!$R$5,PLANILHAS!$T$5,PLANILHAS!$V$5,PLANILHAS!$X$5,PLANILHAS!$Z$5,PLANILHAS!$AB$5)</c:f>
              <c:numCache>
                <c:formatCode>m/d/yyyy</c:formatCode>
                <c:ptCount val="13"/>
                <c:pt idx="0" formatCode="General">
                  <c:v>4.4400000000000004</c:v>
                </c:pt>
                <c:pt idx="1" formatCode="General">
                  <c:v>4.42</c:v>
                </c:pt>
                <c:pt idx="2" formatCode="General">
                  <c:v>4.4000000000000004</c:v>
                </c:pt>
                <c:pt idx="3" formatCode="General">
                  <c:v>4.38</c:v>
                </c:pt>
                <c:pt idx="4" formatCode="General">
                  <c:v>4.37</c:v>
                </c:pt>
                <c:pt idx="5" formatCode="General">
                  <c:v>4.37</c:v>
                </c:pt>
                <c:pt idx="6" formatCode="General">
                  <c:v>4.32</c:v>
                </c:pt>
                <c:pt idx="7" formatCode="General">
                  <c:v>4.3</c:v>
                </c:pt>
                <c:pt idx="8" formatCode="General">
                  <c:v>4.34</c:v>
                </c:pt>
                <c:pt idx="9" formatCode="General">
                  <c:v>4.3</c:v>
                </c:pt>
                <c:pt idx="10" formatCode="General">
                  <c:v>4.3</c:v>
                </c:pt>
                <c:pt idx="11" formatCode="General">
                  <c:v>4.32</c:v>
                </c:pt>
                <c:pt idx="12" formatCode="General">
                  <c:v>4.3499999999999996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9911488"/>
        <c:axId val="579905504"/>
      </c:lineChart>
      <c:catAx>
        <c:axId val="57991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9905504"/>
        <c:crosses val="autoZero"/>
        <c:auto val="1"/>
        <c:lblAlgn val="ctr"/>
        <c:lblOffset val="100"/>
        <c:noMultiLvlLbl val="0"/>
      </c:catAx>
      <c:valAx>
        <c:axId val="57990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991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VALOR TITULO</a:t>
            </a:r>
            <a:r>
              <a:rPr lang="pt-BR" baseline="0"/>
              <a:t> ADQUIRIDO</a:t>
            </a:r>
            <a:endParaRPr lang="pt-B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PLANILHAS!$A$4</c:f>
              <c:strCache>
                <c:ptCount val="1"/>
                <c:pt idx="0">
                  <c:v>VENDA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PLANILHAS!$B$2:$AC$3</c15:sqref>
                  </c15:fullRef>
                </c:ext>
              </c:extLst>
              <c:f>(PLANILHAS!$E$2:$E$3,PLANILHAS!$G$2:$G$3,PLANILHAS!$I$2:$I$3,PLANILHAS!$K$2:$K$3,PLANILHAS!$M$2:$M$3,PLANILHAS!$O$2:$O$3,PLANILHAS!$Q$2:$Q$3,PLANILHAS!$S$2:$S$3,PLANILHAS!$U$2:$U$3,PLANILHAS!$W$2:$W$3,PLANILHAS!$Y$2:$Y$3,PLANILHAS!$AA$2:$AA$3,PLANILHAS!$AC$2:$AC$3)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PLANILHAS!$B$4:$AC$4</c15:sqref>
                  </c15:fullRef>
                </c:ext>
              </c:extLst>
              <c:f>(PLANILHAS!$E$4,PLANILHAS!$G$4,PLANILHAS!$I$4,PLANILHAS!$K$4,PLANILHAS!$M$4,PLANILHAS!$O$4,PLANILHAS!$Q$4,PLANILHAS!$S$4,PLANILHAS!$U$4,PLANILHAS!$W$4,PLANILHAS!$Y$4,PLANILHAS!$AA$4,PLANILHAS!$AC$4)</c:f>
              <c:numCache>
                <c:formatCode>m/d/yyyy</c:formatCode>
                <c:ptCount val="13"/>
                <c:pt idx="0" formatCode="&quot;R$&quot;#,##0.00_);[Red]\(&quot;R$&quot;#,##0.00\)">
                  <c:v>1577.93</c:v>
                </c:pt>
                <c:pt idx="1" formatCode="&quot;R$&quot;#,##0.00_);[Red]\(&quot;R$&quot;#,##0.00\)">
                  <c:v>1584</c:v>
                </c:pt>
                <c:pt idx="2" formatCode="&quot;R$&quot;#,##0.00_);[Red]\(&quot;R$&quot;#,##0.00\)">
                  <c:v>1589.46</c:v>
                </c:pt>
                <c:pt idx="3" formatCode="&quot;R$&quot;#,##0.00_);[Red]\(&quot;R$&quot;#,##0.00\)">
                  <c:v>1594.93</c:v>
                </c:pt>
                <c:pt idx="4" formatCode="&quot;R$&quot;#,##0.00_);[Red]\(&quot;R$&quot;#,##0.00\)">
                  <c:v>1597.97</c:v>
                </c:pt>
                <c:pt idx="5" formatCode="&quot;R$&quot;#,##0.00_);[Red]\(&quot;R$&quot;#,##0.00\)">
                  <c:v>1598.57</c:v>
                </c:pt>
                <c:pt idx="6" formatCode="&quot;R$&quot;#,##0.00_);[Red]\(&quot;R$&quot;#,##0.00\)">
                  <c:v>1611.49</c:v>
                </c:pt>
                <c:pt idx="7" formatCode="&quot;R$&quot;#,##0.00_);[Red]\(&quot;R$&quot;#,##0.00\)">
                  <c:v>1617.01</c:v>
                </c:pt>
                <c:pt idx="8" formatCode="&quot;R$&quot;#,##0.00_);[Red]\(&quot;R$&quot;#,##0.00\)">
                  <c:v>1607.74</c:v>
                </c:pt>
                <c:pt idx="9" formatCode="&quot;R$&quot;#,##0.00_);[Red]\(&quot;R$&quot;#,##0.00\)">
                  <c:v>1618.02</c:v>
                </c:pt>
                <c:pt idx="10" formatCode="&quot;R$&quot;#,##0.00_);[Red]\(&quot;R$&quot;#,##0.00\)">
                  <c:v>1618.45</c:v>
                </c:pt>
                <c:pt idx="11" formatCode="&quot;R$&quot;#,##0.00_);[Red]\(&quot;R$&quot;#,##0.00\)">
                  <c:v>1614.25</c:v>
                </c:pt>
                <c:pt idx="12" formatCode="&quot;R$&quot;#,##0.00_);[Red]\(&quot;R$&quot;#,##0.00\)">
                  <c:v>1607.3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PLANILHAS!$A$5</c:f>
              <c:strCache>
                <c:ptCount val="1"/>
                <c:pt idx="0">
                  <c:v>COMPRA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PLANILHAS!$B$2:$AC$3</c15:sqref>
                  </c15:fullRef>
                </c:ext>
              </c:extLst>
              <c:f>(PLANILHAS!$E$2:$E$3,PLANILHAS!$G$2:$G$3,PLANILHAS!$I$2:$I$3,PLANILHAS!$K$2:$K$3,PLANILHAS!$M$2:$M$3,PLANILHAS!$O$2:$O$3,PLANILHAS!$Q$2:$Q$3,PLANILHAS!$S$2:$S$3,PLANILHAS!$U$2:$U$3,PLANILHAS!$W$2:$W$3,PLANILHAS!$Y$2:$Y$3,PLANILHAS!$AA$2:$AA$3,PLANILHAS!$AC$2:$AC$3)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PLANILHAS!$B$5:$AC$5</c15:sqref>
                  </c15:fullRef>
                </c:ext>
              </c:extLst>
              <c:f>(PLANILHAS!$E$5,PLANILHAS!$G$5,PLANILHAS!$I$5,PLANILHAS!$K$5,PLANILHAS!$M$5,PLANILHAS!$O$5,PLANILHAS!$Q$5,PLANILHAS!$S$5,PLANILHAS!$U$5,PLANILHAS!$W$5,PLANILHAS!$Y$5,PLANILHAS!$AA$5,PLANILHAS!$AC$5)</c:f>
              <c:numCache>
                <c:formatCode>m/d/yyyy</c:formatCode>
                <c:ptCount val="13"/>
                <c:pt idx="0" formatCode="&quot;R$&quot;#,##0.00_);[Red]\(&quot;R$&quot;#,##0.00\)">
                  <c:v>1607.16</c:v>
                </c:pt>
                <c:pt idx="1" formatCode="&quot;R$&quot;#,##0.00_);[Red]\(&quot;R$&quot;#,##0.00\)">
                  <c:v>1613.35</c:v>
                </c:pt>
                <c:pt idx="2" formatCode="&quot;R$&quot;#,##0.00_);[Red]\(&quot;R$&quot;#,##0.00\)">
                  <c:v>1618.9</c:v>
                </c:pt>
                <c:pt idx="3" formatCode="&quot;R$&quot;#,##0.00_);[Red]\(&quot;R$&quot;#,##0.00\)">
                  <c:v>1624.47</c:v>
                </c:pt>
                <c:pt idx="4" formatCode="&quot;R$&quot;#,##0.00_);[Red]\(&quot;R$&quot;#,##0.00\)">
                  <c:v>1627.56</c:v>
                </c:pt>
                <c:pt idx="5" formatCode="&quot;R$&quot;#,##0.00_);[Red]\(&quot;R$&quot;#,##0.00\)">
                  <c:v>1628.17</c:v>
                </c:pt>
                <c:pt idx="6" formatCode="&quot;R$&quot;#,##0.00_);[Red]\(&quot;R$&quot;#,##0.00\)">
                  <c:v>1641.34</c:v>
                </c:pt>
                <c:pt idx="7" formatCode="&quot;R$&quot;#,##0.00_);[Red]\(&quot;R$&quot;#,##0.00\)">
                  <c:v>1646.95</c:v>
                </c:pt>
                <c:pt idx="8" formatCode="&quot;R$&quot;#,##0.00_);[Red]\(&quot;R$&quot;#,##0.00\)">
                  <c:v>1637.49</c:v>
                </c:pt>
                <c:pt idx="9" formatCode="&quot;R$&quot;#,##0.00_);[Red]\(&quot;R$&quot;#,##0.00\)">
                  <c:v>1647.97</c:v>
                </c:pt>
                <c:pt idx="10" formatCode="&quot;R$&quot;#,##0.00_);[Red]\(&quot;R$&quot;#,##0.00\)">
                  <c:v>1648.4</c:v>
                </c:pt>
                <c:pt idx="11" formatCode="&quot;R$&quot;#,##0.00_);[Red]\(&quot;R$&quot;#,##0.00\)">
                  <c:v>1644.1</c:v>
                </c:pt>
                <c:pt idx="12" formatCode="&quot;R$&quot;#,##0.00_);[Red]\(&quot;R$&quot;#,##0.00\)">
                  <c:v>1637.01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9909856"/>
        <c:axId val="579910944"/>
      </c:lineChart>
      <c:catAx>
        <c:axId val="579909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9910944"/>
        <c:crosses val="autoZero"/>
        <c:auto val="1"/>
        <c:lblAlgn val="ctr"/>
        <c:lblOffset val="100"/>
        <c:noMultiLvlLbl val="0"/>
      </c:catAx>
      <c:valAx>
        <c:axId val="579910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7990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PLANILHAS!$A$6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PLANILHAS!$B$2:$AC$3</c15:sqref>
                  </c15:fullRef>
                </c:ext>
              </c:extLst>
              <c:f>(PLANILHAS!$D$2:$D$3,PLANILHAS!$F$2:$F$3,PLANILHAS!$H$2:$H$3,PLANILHAS!$J$2:$J$3,PLANILHAS!$L$2:$L$3,PLANILHAS!$N$2:$N$3,PLANILHAS!$P$2:$P$3,PLANILHAS!$R$2:$R$3,PLANILHAS!$T$2:$T$3,PLANILHAS!$V$2:$V$3,PLANILHAS!$X$2:$X$3,PLANILHAS!$Z$2:$Z$3,PLANILHAS!$AB$2:$AB$3)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PLANILHAS!$B$6:$AC$6</c15:sqref>
                  </c15:fullRef>
                </c:ext>
              </c:extLst>
              <c:f>(PLANILHAS!$D$6,PLANILHAS!$F$6,PLANILHAS!$H$6,PLANILHAS!$J$6,PLANILHAS!$L$6,PLANILHAS!$N$6,PLANILHAS!$P$6,PLANILHAS!$R$6,PLANILHAS!$T$6,PLANILHAS!$V$6,PLANILHAS!$X$6,PLANILHAS!$Z$6,PLANILHAS!$AB$6)</c:f>
              <c:numCache>
                <c:formatCode>m/d/yyyy</c:formatCode>
                <c:ptCount val="13"/>
                <c:pt idx="0" formatCode="&quot;R$&quot;#,##0.00_);[Red]\(&quot;R$&quot;#,##0.00\)">
                  <c:v>5.01962301369863</c:v>
                </c:pt>
                <c:pt idx="1" formatCode="&quot;R$&quot;#,##0.00_);[Red]\(&quot;R$&quot;#,##0.00\)">
                  <c:v>4.9976071232876711</c:v>
                </c:pt>
                <c:pt idx="2" formatCode="&quot;R$&quot;#,##0.00_);[Red]\(&quot;R$&quot;#,##0.00\)">
                  <c:v>4.9755912328767122</c:v>
                </c:pt>
                <c:pt idx="3" formatCode="&quot;R$&quot;#,##0.00_);[Red]\(&quot;R$&quot;#,##0.00\)">
                  <c:v>4.9535753424657534</c:v>
                </c:pt>
                <c:pt idx="4" formatCode="&quot;R$&quot;#,##0.00_);[Red]\(&quot;R$&quot;#,##0.00\)">
                  <c:v>4.9425673972602748</c:v>
                </c:pt>
                <c:pt idx="5" formatCode="&quot;R$&quot;#,##0.00_);[Red]\(&quot;R$&quot;#,##0.00\)">
                  <c:v>4.9425673972602748</c:v>
                </c:pt>
                <c:pt idx="6" formatCode="&quot;R$&quot;#,##0.00_);[Red]\(&quot;R$&quot;#,##0.00\)">
                  <c:v>4.8875276712328777</c:v>
                </c:pt>
                <c:pt idx="7" formatCode="&quot;R$&quot;#,##0.00_);[Red]\(&quot;R$&quot;#,##0.00\)">
                  <c:v>4.8655117808219179</c:v>
                </c:pt>
                <c:pt idx="8" formatCode="&quot;R$&quot;#,##0.00_);[Red]\(&quot;R$&quot;#,##0.00\)">
                  <c:v>4.9095435616438357</c:v>
                </c:pt>
                <c:pt idx="9" formatCode="&quot;R$&quot;#,##0.00_);[Red]\(&quot;R$&quot;#,##0.00\)">
                  <c:v>4.8655117808219179</c:v>
                </c:pt>
                <c:pt idx="10" formatCode="&quot;R$&quot;#,##0.00_);[Red]\(&quot;R$&quot;#,##0.00\)">
                  <c:v>4.8655117808219179</c:v>
                </c:pt>
                <c:pt idx="11" formatCode="&quot;R$&quot;#,##0.00_);[Red]\(&quot;R$&quot;#,##0.00\)">
                  <c:v>4.8875276712328777</c:v>
                </c:pt>
                <c:pt idx="12" formatCode="&quot;R$&quot;#,##0.00_);[Red]\(&quot;R$&quot;#,##0.00\)">
                  <c:v>4.9205515068493151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PLANILHAS!$A$7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PLANILHAS!$B$2:$AC$3</c15:sqref>
                  </c15:fullRef>
                </c:ext>
              </c:extLst>
              <c:f>(PLANILHAS!$D$2:$D$3,PLANILHAS!$F$2:$F$3,PLANILHAS!$H$2:$H$3,PLANILHAS!$J$2:$J$3,PLANILHAS!$L$2:$L$3,PLANILHAS!$N$2:$N$3,PLANILHAS!$P$2:$P$3,PLANILHAS!$R$2:$R$3,PLANILHAS!$T$2:$T$3,PLANILHAS!$V$2:$V$3,PLANILHAS!$X$2:$X$3,PLANILHAS!$Z$2:$Z$3,PLANILHAS!$AB$2:$AB$3)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PLANILHAS!$B$7:$AC$7</c15:sqref>
                  </c15:fullRef>
                </c:ext>
              </c:extLst>
              <c:f>(PLANILHAS!$D$7,PLANILHAS!$F$7,PLANILHAS!$H$7,PLANILHAS!$J$7,PLANILHAS!$L$7,PLANILHAS!$N$7,PLANILHAS!$P$7,PLANILHAS!$R$7,PLANILHAS!$T$7,PLANILHAS!$V$7,PLANILHAS!$X$7,PLANILHAS!$Z$7,PLANILHAS!$AB$7)</c:f>
              <c:numCache>
                <c:formatCode>m/d/yyyy</c:formatCode>
                <c:ptCount val="13"/>
                <c:pt idx="0" formatCode="&quot;R$&quot;#,##0.00_);[Red]\(&quot;R$&quot;#,##0.00\)">
                  <c:v>4.8875276712328777</c:v>
                </c:pt>
                <c:pt idx="1" formatCode="&quot;R$&quot;#,##0.00_);[Red]\(&quot;R$&quot;#,##0.00\)">
                  <c:v>4.8655117808219179</c:v>
                </c:pt>
                <c:pt idx="2" formatCode="&quot;R$&quot;#,##0.00_);[Red]\(&quot;R$&quot;#,##0.00\)">
                  <c:v>4.8434958904109591</c:v>
                </c:pt>
                <c:pt idx="3" formatCode="&quot;R$&quot;#,##0.00_);[Red]\(&quot;R$&quot;#,##0.00\)">
                  <c:v>4.8214800000000002</c:v>
                </c:pt>
                <c:pt idx="4" formatCode="&quot;R$&quot;#,##0.00_);[Red]\(&quot;R$&quot;#,##0.00\)">
                  <c:v>4.8104720547945208</c:v>
                </c:pt>
                <c:pt idx="5" formatCode="&quot;R$&quot;#,##0.00_);[Red]\(&quot;R$&quot;#,##0.00\)">
                  <c:v>4.8104720547945208</c:v>
                </c:pt>
                <c:pt idx="6" formatCode="&quot;R$&quot;#,##0.00_);[Red]\(&quot;R$&quot;#,##0.00\)">
                  <c:v>4.7554323287671245</c:v>
                </c:pt>
                <c:pt idx="7" formatCode="&quot;R$&quot;#,##0.00_);[Red]\(&quot;R$&quot;#,##0.00\)">
                  <c:v>4.7334164383561648</c:v>
                </c:pt>
                <c:pt idx="8" formatCode="&quot;R$&quot;#,##0.00_);[Red]\(&quot;R$&quot;#,##0.00\)">
                  <c:v>4.7774482191780825</c:v>
                </c:pt>
                <c:pt idx="9" formatCode="&quot;R$&quot;#,##0.00_);[Red]\(&quot;R$&quot;#,##0.00\)">
                  <c:v>4.7334164383561648</c:v>
                </c:pt>
                <c:pt idx="10" formatCode="&quot;R$&quot;#,##0.00_);[Red]\(&quot;R$&quot;#,##0.00\)">
                  <c:v>4.7334164383561648</c:v>
                </c:pt>
                <c:pt idx="11" formatCode="&quot;R$&quot;#,##0.00_);[Red]\(&quot;R$&quot;#,##0.00\)">
                  <c:v>4.7554323287671245</c:v>
                </c:pt>
                <c:pt idx="12" formatCode="&quot;R$&quot;#,##0.00_);[Red]\(&quot;R$&quot;#,##0.00\)">
                  <c:v>4.788456164383561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2648272"/>
        <c:axId val="65263848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PLANILHAS!$A$4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PLANILHAS!$B$2:$AC$3</c15:sqref>
                        </c15:fullRef>
                        <c15:formulaRef>
                          <c15:sqref>(PLANILHAS!$D$2:$D$3,PLANILHAS!$F$2:$F$3,PLANILHAS!$H$2:$H$3,PLANILHAS!$J$2:$J$3,PLANILHAS!$L$2:$L$3,PLANILHAS!$N$2:$N$3,PLANILHAS!$P$2:$P$3,PLANILHAS!$R$2:$R$3,PLANILHAS!$T$2:$T$3,PLANILHAS!$V$2:$V$3,PLANILHAS!$X$2:$X$3,PLANILHAS!$Z$2:$Z$3,PLANILHAS!$AB$2:$AB$3)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PLANILHAS!$B$4:$AC$4</c15:sqref>
                        </c15:fullRef>
                        <c15:formulaRef>
                          <c15:sqref>(PLANILHAS!$D$4,PLANILHAS!$F$4,PLANILHAS!$H$4,PLANILHAS!$J$4,PLANILHAS!$L$4,PLANILHAS!$N$4,PLANILHAS!$P$4,PLANILHAS!$R$4,PLANILHAS!$T$4,PLANILHAS!$V$4,PLANILHAS!$X$4,PLANILHAS!$Z$4,PLANILHAS!$AB$4)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PLANILHAS!$A$5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PLANILHAS!$B$2:$AC$3</c15:sqref>
                        </c15:fullRef>
                        <c15:formulaRef>
                          <c15:sqref>(PLANILHAS!$D$2:$D$3,PLANILHAS!$F$2:$F$3,PLANILHAS!$H$2:$H$3,PLANILHAS!$J$2:$J$3,PLANILHAS!$L$2:$L$3,PLANILHAS!$N$2:$N$3,PLANILHAS!$P$2:$P$3,PLANILHAS!$R$2:$R$3,PLANILHAS!$T$2:$T$3,PLANILHAS!$V$2:$V$3,PLANILHAS!$X$2:$X$3,PLANILHAS!$Z$2:$Z$3,PLANILHAS!$AB$2:$AB$3)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PLANILHAS!$B$5:$AC$5</c15:sqref>
                        </c15:fullRef>
                        <c15:formulaRef>
                          <c15:sqref>(PLANILHAS!$D$5,PLANILHAS!$F$5,PLANILHAS!$H$5,PLANILHAS!$J$5,PLANILHAS!$L$5,PLANILHAS!$N$5,PLANILHAS!$P$5,PLANILHAS!$R$5,PLANILHAS!$T$5,PLANILHAS!$V$5,PLANILHAS!$X$5,PLANILHAS!$Z$5,PLANILHAS!$AB$5)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General">
                        <c:v>4.4400000000000004</c:v>
                      </c:pt>
                      <c:pt idx="1" formatCode="General">
                        <c:v>4.42</c:v>
                      </c:pt>
                      <c:pt idx="2" formatCode="General">
                        <c:v>4.4000000000000004</c:v>
                      </c:pt>
                      <c:pt idx="3" formatCode="General">
                        <c:v>4.38</c:v>
                      </c:pt>
                      <c:pt idx="4" formatCode="General">
                        <c:v>4.37</c:v>
                      </c:pt>
                      <c:pt idx="5" formatCode="General">
                        <c:v>4.37</c:v>
                      </c:pt>
                      <c:pt idx="6" formatCode="General">
                        <c:v>4.32</c:v>
                      </c:pt>
                      <c:pt idx="7" formatCode="General">
                        <c:v>4.3</c:v>
                      </c:pt>
                      <c:pt idx="8" formatCode="General">
                        <c:v>4.34</c:v>
                      </c:pt>
                      <c:pt idx="9" formatCode="General">
                        <c:v>4.3</c:v>
                      </c:pt>
                      <c:pt idx="10" formatCode="General">
                        <c:v>4.3</c:v>
                      </c:pt>
                      <c:pt idx="11" formatCode="General">
                        <c:v>4.32</c:v>
                      </c:pt>
                      <c:pt idx="12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5264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2638480"/>
        <c:crosses val="autoZero"/>
        <c:auto val="1"/>
        <c:lblAlgn val="ctr"/>
        <c:lblOffset val="100"/>
        <c:noMultiLvlLbl val="0"/>
      </c:catAx>
      <c:valAx>
        <c:axId val="65263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264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PLANILHAS!$A$6</c:f>
              <c:strCache>
                <c:ptCount val="1"/>
                <c:pt idx="0">
                  <c:v>TITULO VENDA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PLANILHAS!$B$2:$AC$3</c15:sqref>
                  </c15:fullRef>
                </c:ext>
              </c:extLst>
              <c:f>(PLANILHAS!$E$2:$E$3,PLANILHAS!$G$2:$G$3,PLANILHAS!$I$2:$I$3,PLANILHAS!$K$2:$K$3,PLANILHAS!$M$2:$M$3,PLANILHAS!$O$2:$O$3,PLANILHAS!$Q$2:$Q$3,PLANILHAS!$S$2:$S$3,PLANILHAS!$U$2:$U$3,PLANILHAS!$W$2:$W$3,PLANILHAS!$Y$2:$Y$3,PLANILHAS!$AA$2:$AA$3,PLANILHAS!$AC$2:$AC$3)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PLANILHAS!$B$6:$AC$6</c15:sqref>
                  </c15:fullRef>
                </c:ext>
              </c:extLst>
              <c:f>(PLANILHAS!$E$6,PLANILHAS!$G$6,PLANILHAS!$I$6,PLANILHAS!$K$6,PLANILHAS!$M$6,PLANILHAS!$O$6,PLANILHAS!$Q$6,PLANILHAS!$S$6,PLANILHAS!$U$6,PLANILHAS!$W$6,PLANILHAS!$Y$6,PLANILHAS!$AA$6,PLANILHAS!$AC$6)</c:f>
              <c:numCache>
                <c:formatCode>m/d/yyyy</c:formatCode>
                <c:ptCount val="13"/>
                <c:pt idx="0" formatCode="0.00">
                  <c:v>0.25463106728435353</c:v>
                </c:pt>
                <c:pt idx="1" formatCode="0.00">
                  <c:v>0.25365530303030304</c:v>
                </c:pt>
                <c:pt idx="2" formatCode="0.00">
                  <c:v>0.25278396436525613</c:v>
                </c:pt>
                <c:pt idx="3" formatCode="0.00">
                  <c:v>0.251917012031876</c:v>
                </c:pt>
                <c:pt idx="4" formatCode="0.00">
                  <c:v>0.25143776166010628</c:v>
                </c:pt>
                <c:pt idx="5" formatCode="0.00">
                  <c:v>0.25134338815316193</c:v>
                </c:pt>
                <c:pt idx="6" formatCode="0.00">
                  <c:v>0.24932826142265854</c:v>
                </c:pt>
                <c:pt idx="7" formatCode="0.00">
                  <c:v>0.24847712753786311</c:v>
                </c:pt>
                <c:pt idx="8" formatCode="0.00">
                  <c:v>0.24990981128789483</c:v>
                </c:pt>
                <c:pt idx="9" formatCode="0.00">
                  <c:v>0.24832202321355731</c:v>
                </c:pt>
                <c:pt idx="10" formatCode="0.00">
                  <c:v>0.2482560474528098</c:v>
                </c:pt>
                <c:pt idx="11" formatCode="0.00">
                  <c:v>0.24890196685767385</c:v>
                </c:pt>
                <c:pt idx="12" formatCode="0.00">
                  <c:v>0.24997822435139677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PLANILHAS!$A$7</c:f>
              <c:strCache>
                <c:ptCount val="1"/>
                <c:pt idx="0">
                  <c:v>TITULO COMPRA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PLANILHAS!$B$2:$AC$3</c15:sqref>
                  </c15:fullRef>
                </c:ext>
              </c:extLst>
              <c:f>(PLANILHAS!$E$2:$E$3,PLANILHAS!$G$2:$G$3,PLANILHAS!$I$2:$I$3,PLANILHAS!$K$2:$K$3,PLANILHAS!$M$2:$M$3,PLANILHAS!$O$2:$O$3,PLANILHAS!$Q$2:$Q$3,PLANILHAS!$S$2:$S$3,PLANILHAS!$U$2:$U$3,PLANILHAS!$W$2:$W$3,PLANILHAS!$Y$2:$Y$3,PLANILHAS!$AA$2:$AA$3,PLANILHAS!$AC$2:$AC$3)</c:f>
              <c:multiLvlStrCache>
                <c:ptCount val="13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PLANILHAS!$B$7:$AC$7</c15:sqref>
                  </c15:fullRef>
                </c:ext>
              </c:extLst>
              <c:f>(PLANILHAS!$E$7,PLANILHAS!$G$7,PLANILHAS!$I$7,PLANILHAS!$K$7,PLANILHAS!$M$7,PLANILHAS!$O$7,PLANILHAS!$Q$7,PLANILHAS!$S$7,PLANILHAS!$U$7,PLANILHAS!$W$7,PLANILHAS!$Y$7,PLANILHAS!$AA$7,PLANILHAS!$AC$7)</c:f>
              <c:numCache>
                <c:formatCode>m/d/yyyy</c:formatCode>
                <c:ptCount val="13"/>
                <c:pt idx="0" formatCode="0.00">
                  <c:v>0.25</c:v>
                </c:pt>
                <c:pt idx="1" formatCode="0.00">
                  <c:v>0.24904081569405279</c:v>
                </c:pt>
                <c:pt idx="2" formatCode="0.00">
                  <c:v>0.248187040583112</c:v>
                </c:pt>
                <c:pt idx="3" formatCode="0.00">
                  <c:v>0.24733605422076124</c:v>
                </c:pt>
                <c:pt idx="4" formatCode="0.00">
                  <c:v>0.24686647496866476</c:v>
                </c:pt>
                <c:pt idx="5" formatCode="0.00">
                  <c:v>0.24677398551748281</c:v>
                </c:pt>
                <c:pt idx="6" formatCode="0.00">
                  <c:v>0.24479388792084519</c:v>
                </c:pt>
                <c:pt idx="7" formatCode="0.00">
                  <c:v>0.24396004736027202</c:v>
                </c:pt>
                <c:pt idx="8" formatCode="0.00">
                  <c:v>0.2453694373706099</c:v>
                </c:pt>
                <c:pt idx="9" formatCode="0.00">
                  <c:v>0.24380904992202529</c:v>
                </c:pt>
                <c:pt idx="10" formatCode="0.00">
                  <c:v>0.24374545013346274</c:v>
                </c:pt>
                <c:pt idx="11" formatCode="0.00">
                  <c:v>0.24438294507633357</c:v>
                </c:pt>
                <c:pt idx="12" formatCode="0.00">
                  <c:v>0.24544138398665863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52661872"/>
        <c:axId val="6526379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PLANILHAS!$A$4</c15:sqref>
                        </c15:formulaRef>
                      </c:ext>
                    </c:extLst>
                    <c:strCache>
                      <c:ptCount val="1"/>
                      <c:pt idx="0">
                        <c:v>VENDA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PLANILHAS!$B$2:$AC$3</c15:sqref>
                        </c15:fullRef>
                        <c15:formulaRef>
                          <c15:sqref>(PLANILHAS!$E$2:$E$3,PLANILHAS!$G$2:$G$3,PLANILHAS!$I$2:$I$3,PLANILHAS!$K$2:$K$3,PLANILHAS!$M$2:$M$3,PLANILHAS!$O$2:$O$3,PLANILHAS!$Q$2:$Q$3,PLANILHAS!$S$2:$S$3,PLANILHAS!$U$2:$U$3,PLANILHAS!$W$2:$W$3,PLANILHAS!$Y$2:$Y$3,PLANILHAS!$AA$2:$AA$3,PLANILHAS!$AC$2:$AC$3)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PLANILHAS!$B$4:$AC$4</c15:sqref>
                        </c15:fullRef>
                        <c15:formulaRef>
                          <c15:sqref>(PLANILHAS!$E$4,PLANILHAS!$G$4,PLANILHAS!$I$4,PLANILHAS!$K$4,PLANILHAS!$M$4,PLANILHAS!$O$4,PLANILHAS!$Q$4,PLANILHAS!$S$4,PLANILHAS!$U$4,PLANILHAS!$W$4,PLANILHAS!$Y$4,PLANILHAS!$AA$4,PLANILHAS!$AC$4)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&quot;R$&quot;#,##0.00_);[Red]\(&quot;R$&quot;#,##0.00\)">
                        <c:v>1577.93</c:v>
                      </c:pt>
                      <c:pt idx="1" formatCode="&quot;R$&quot;#,##0.00_);[Red]\(&quot;R$&quot;#,##0.00\)">
                        <c:v>1584</c:v>
                      </c:pt>
                      <c:pt idx="2" formatCode="&quot;R$&quot;#,##0.00_);[Red]\(&quot;R$&quot;#,##0.00\)">
                        <c:v>1589.46</c:v>
                      </c:pt>
                      <c:pt idx="3" formatCode="&quot;R$&quot;#,##0.00_);[Red]\(&quot;R$&quot;#,##0.00\)">
                        <c:v>1594.93</c:v>
                      </c:pt>
                      <c:pt idx="4" formatCode="&quot;R$&quot;#,##0.00_);[Red]\(&quot;R$&quot;#,##0.00\)">
                        <c:v>1597.97</c:v>
                      </c:pt>
                      <c:pt idx="5" formatCode="&quot;R$&quot;#,##0.00_);[Red]\(&quot;R$&quot;#,##0.00\)">
                        <c:v>1598.57</c:v>
                      </c:pt>
                      <c:pt idx="6" formatCode="&quot;R$&quot;#,##0.00_);[Red]\(&quot;R$&quot;#,##0.00\)">
                        <c:v>1611.49</c:v>
                      </c:pt>
                      <c:pt idx="7" formatCode="&quot;R$&quot;#,##0.00_);[Red]\(&quot;R$&quot;#,##0.00\)">
                        <c:v>1617.01</c:v>
                      </c:pt>
                      <c:pt idx="8" formatCode="&quot;R$&quot;#,##0.00_);[Red]\(&quot;R$&quot;#,##0.00\)">
                        <c:v>1607.74</c:v>
                      </c:pt>
                      <c:pt idx="9" formatCode="&quot;R$&quot;#,##0.00_);[Red]\(&quot;R$&quot;#,##0.00\)">
                        <c:v>1618.02</c:v>
                      </c:pt>
                      <c:pt idx="10" formatCode="&quot;R$&quot;#,##0.00_);[Red]\(&quot;R$&quot;#,##0.00\)">
                        <c:v>1618.45</c:v>
                      </c:pt>
                      <c:pt idx="11" formatCode="&quot;R$&quot;#,##0.00_);[Red]\(&quot;R$&quot;#,##0.00\)">
                        <c:v>1614.25</c:v>
                      </c:pt>
                      <c:pt idx="12" formatCode="&quot;R$&quot;#,##0.00_);[Red]\(&quot;R$&quot;#,##0.00\)">
                        <c:v>1607.3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PLANILHAS!$A$5</c15:sqref>
                        </c15:formulaRef>
                      </c:ext>
                    </c:extLst>
                    <c:strCache>
                      <c:ptCount val="1"/>
                      <c:pt idx="0">
                        <c:v>COMPRA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PLANILHAS!$B$2:$AC$3</c15:sqref>
                        </c15:fullRef>
                        <c15:formulaRef>
                          <c15:sqref>(PLANILHAS!$E$2:$E$3,PLANILHAS!$G$2:$G$3,PLANILHAS!$I$2:$I$3,PLANILHAS!$K$2:$K$3,PLANILHAS!$M$2:$M$3,PLANILHAS!$O$2:$O$3,PLANILHAS!$Q$2:$Q$3,PLANILHAS!$S$2:$S$3,PLANILHAS!$U$2:$U$3,PLANILHAS!$W$2:$W$3,PLANILHAS!$Y$2:$Y$3,PLANILHAS!$AA$2:$AA$3,PLANILHAS!$AC$2:$AC$3)</c15:sqref>
                        </c15:formulaRef>
                      </c:ext>
                    </c:extLst>
                    <c:multiLvlStrCache>
                      <c:ptCount val="13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PLANILHAS!$B$5:$AC$5</c15:sqref>
                        </c15:fullRef>
                        <c15:formulaRef>
                          <c15:sqref>(PLANILHAS!$E$5,PLANILHAS!$G$5,PLANILHAS!$I$5,PLANILHAS!$K$5,PLANILHAS!$M$5,PLANILHAS!$O$5,PLANILHAS!$Q$5,PLANILHAS!$S$5,PLANILHAS!$U$5,PLANILHAS!$W$5,PLANILHAS!$Y$5,PLANILHAS!$AA$5,PLANILHAS!$AC$5)</c15:sqref>
                        </c15:formulaRef>
                      </c:ext>
                    </c:extLst>
                    <c:numCache>
                      <c:formatCode>m/d/yyyy</c:formatCode>
                      <c:ptCount val="13"/>
                      <c:pt idx="0" formatCode="&quot;R$&quot;#,##0.00_);[Red]\(&quot;R$&quot;#,##0.00\)">
                        <c:v>1607.16</c:v>
                      </c:pt>
                      <c:pt idx="1" formatCode="&quot;R$&quot;#,##0.00_);[Red]\(&quot;R$&quot;#,##0.00\)">
                        <c:v>1613.35</c:v>
                      </c:pt>
                      <c:pt idx="2" formatCode="&quot;R$&quot;#,##0.00_);[Red]\(&quot;R$&quot;#,##0.00\)">
                        <c:v>1618.9</c:v>
                      </c:pt>
                      <c:pt idx="3" formatCode="&quot;R$&quot;#,##0.00_);[Red]\(&quot;R$&quot;#,##0.00\)">
                        <c:v>1624.47</c:v>
                      </c:pt>
                      <c:pt idx="4" formatCode="&quot;R$&quot;#,##0.00_);[Red]\(&quot;R$&quot;#,##0.00\)">
                        <c:v>1627.56</c:v>
                      </c:pt>
                      <c:pt idx="5" formatCode="&quot;R$&quot;#,##0.00_);[Red]\(&quot;R$&quot;#,##0.00\)">
                        <c:v>1628.17</c:v>
                      </c:pt>
                      <c:pt idx="6" formatCode="&quot;R$&quot;#,##0.00_);[Red]\(&quot;R$&quot;#,##0.00\)">
                        <c:v>1641.34</c:v>
                      </c:pt>
                      <c:pt idx="7" formatCode="&quot;R$&quot;#,##0.00_);[Red]\(&quot;R$&quot;#,##0.00\)">
                        <c:v>1646.95</c:v>
                      </c:pt>
                      <c:pt idx="8" formatCode="&quot;R$&quot;#,##0.00_);[Red]\(&quot;R$&quot;#,##0.00\)">
                        <c:v>1637.49</c:v>
                      </c:pt>
                      <c:pt idx="9" formatCode="&quot;R$&quot;#,##0.00_);[Red]\(&quot;R$&quot;#,##0.00\)">
                        <c:v>1647.97</c:v>
                      </c:pt>
                      <c:pt idx="10" formatCode="&quot;R$&quot;#,##0.00_);[Red]\(&quot;R$&quot;#,##0.00\)">
                        <c:v>1648.4</c:v>
                      </c:pt>
                      <c:pt idx="11" formatCode="&quot;R$&quot;#,##0.00_);[Red]\(&quot;R$&quot;#,##0.00\)">
                        <c:v>1644.1</c:v>
                      </c:pt>
                      <c:pt idx="12" formatCode="&quot;R$&quot;#,##0.00_);[Red]\(&quot;R$&quot;#,##0.00\)">
                        <c:v>1637.01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652661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2637936"/>
        <c:crosses val="autoZero"/>
        <c:auto val="1"/>
        <c:lblAlgn val="ctr"/>
        <c:lblOffset val="100"/>
        <c:noMultiLvlLbl val="0"/>
      </c:catAx>
      <c:valAx>
        <c:axId val="652637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_);[Red]\(&quot;R$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2661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128587</xdr:rowOff>
    </xdr:from>
    <xdr:to>
      <xdr:col>8</xdr:col>
      <xdr:colOff>962024</xdr:colOff>
      <xdr:row>22</xdr:row>
      <xdr:rowOff>14287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14287</xdr:rowOff>
    </xdr:from>
    <xdr:to>
      <xdr:col>8</xdr:col>
      <xdr:colOff>952500</xdr:colOff>
      <xdr:row>37</xdr:row>
      <xdr:rowOff>90487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1924049</xdr:colOff>
      <xdr:row>8</xdr:row>
      <xdr:rowOff>4762</xdr:rowOff>
    </xdr:from>
    <xdr:to>
      <xdr:col>19</xdr:col>
      <xdr:colOff>0</xdr:colOff>
      <xdr:row>22</xdr:row>
      <xdr:rowOff>80962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9524</xdr:colOff>
      <xdr:row>24</xdr:row>
      <xdr:rowOff>14287</xdr:rowOff>
    </xdr:from>
    <xdr:to>
      <xdr:col>19</xdr:col>
      <xdr:colOff>9524</xdr:colOff>
      <xdr:row>38</xdr:row>
      <xdr:rowOff>90487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Compr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TESOURO%20DIRETO_0519%20-%20Vend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COMPARAÇÃO DIA A DIA"/>
      <sheetName val="TESOURO IPCA"/>
      <sheetName val="TESOURO IPCA JUROS SEMESTRAIS"/>
      <sheetName val="TESOURO PREFIXADOS"/>
      <sheetName val="TESOURO SELIC"/>
    </sheetNames>
    <sheetDataSet>
      <sheetData sheetId="0">
        <row r="4">
          <cell r="A4" t="str">
            <v>Tesouro IPCA+ 2035</v>
          </cell>
          <cell r="C4">
            <v>4.4400000000000004</v>
          </cell>
          <cell r="E4">
            <v>1607.16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20519"/>
      <sheetName val="030519"/>
      <sheetName val="060519"/>
      <sheetName val="070519"/>
      <sheetName val="080519"/>
      <sheetName val="090519"/>
      <sheetName val="100519"/>
      <sheetName val="130519"/>
      <sheetName val="140519"/>
      <sheetName val="150519"/>
      <sheetName val="160519"/>
      <sheetName val="170519"/>
      <sheetName val="200519"/>
      <sheetName val="COMPARAÇÃO DIA A DIA"/>
      <sheetName val="TESOURO IPCA"/>
      <sheetName val="TESOURO IPCA JUROS SEMESTRAIS"/>
      <sheetName val="TESOURO PREFIXADOS"/>
      <sheetName val="TESOURO PREFIXADOS JUROS SEM."/>
      <sheetName val="TESOURO SELIC"/>
      <sheetName val="TESOURO IGP-M"/>
    </sheetNames>
    <sheetDataSet>
      <sheetData sheetId="0">
        <row r="5">
          <cell r="C5">
            <v>4.5599999999999996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workbookViewId="0">
      <selection activeCell="A2" sqref="A2:B2"/>
    </sheetView>
  </sheetViews>
  <sheetFormatPr defaultRowHeight="15" x14ac:dyDescent="0.25"/>
  <cols>
    <col min="1" max="1" width="18.42578125" bestFit="1" customWidth="1"/>
    <col min="2" max="2" width="17.42578125" bestFit="1" customWidth="1"/>
    <col min="3" max="3" width="19" bestFit="1" customWidth="1"/>
    <col min="4" max="4" width="9.5703125" bestFit="1" customWidth="1"/>
    <col min="5" max="5" width="26.42578125" style="9" bestFit="1" customWidth="1"/>
    <col min="6" max="6" width="26.42578125" customWidth="1"/>
    <col min="7" max="7" width="26.42578125" style="12" customWidth="1"/>
    <col min="8" max="8" width="27" bestFit="1" customWidth="1"/>
  </cols>
  <sheetData>
    <row r="1" spans="1:8" x14ac:dyDescent="0.25">
      <c r="A1" t="s">
        <v>4</v>
      </c>
      <c r="B1" s="1" t="s">
        <v>0</v>
      </c>
      <c r="C1" s="1" t="s">
        <v>1</v>
      </c>
      <c r="D1" s="1" t="s">
        <v>2</v>
      </c>
      <c r="E1" s="7" t="s">
        <v>6</v>
      </c>
      <c r="F1" s="1" t="s">
        <v>3</v>
      </c>
      <c r="G1" s="10" t="s">
        <v>7</v>
      </c>
      <c r="H1" s="5" t="s">
        <v>5</v>
      </c>
    </row>
    <row r="2" spans="1:8" x14ac:dyDescent="0.25">
      <c r="A2" t="str">
        <f>'[1]020519'!$A$4</f>
        <v>Tesouro IPCA+ 2035</v>
      </c>
      <c r="B2" s="4">
        <v>43587</v>
      </c>
      <c r="C2" s="2">
        <v>401.79</v>
      </c>
      <c r="D2" s="3">
        <v>0.25</v>
      </c>
      <c r="E2" s="8">
        <f>'[1]020519'!$C$4</f>
        <v>4.4400000000000004</v>
      </c>
      <c r="F2" s="2">
        <f>'[1]020519'!$E$4</f>
        <v>1607.16</v>
      </c>
      <c r="G2" s="11">
        <f>'[2]020519'!$C$5</f>
        <v>4.5599999999999996</v>
      </c>
      <c r="H2" s="6">
        <f>PLANILHAS!AC4</f>
        <v>1607.3</v>
      </c>
    </row>
    <row r="10" spans="1:8" x14ac:dyDescent="0.25">
      <c r="D10" s="47"/>
    </row>
    <row r="11" spans="1:8" x14ac:dyDescent="0.25">
      <c r="D11" s="12"/>
      <c r="E11" s="46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I11"/>
  <sheetViews>
    <sheetView tabSelected="1" topLeftCell="K2" workbookViewId="0">
      <selection activeCell="A2" sqref="A2:AC7"/>
    </sheetView>
  </sheetViews>
  <sheetFormatPr defaultRowHeight="15" x14ac:dyDescent="0.25"/>
  <cols>
    <col min="1" max="1" width="15.5703125" bestFit="1" customWidth="1"/>
    <col min="2" max="2" width="18.42578125" bestFit="1" customWidth="1"/>
    <col min="3" max="3" width="11.85546875" bestFit="1" customWidth="1"/>
    <col min="4" max="4" width="28.85546875" bestFit="1" customWidth="1"/>
    <col min="5" max="5" width="14.42578125" bestFit="1" customWidth="1"/>
    <col min="6" max="6" width="28.85546875" bestFit="1" customWidth="1"/>
    <col min="7" max="7" width="14.42578125" bestFit="1" customWidth="1"/>
    <col min="8" max="8" width="28.85546875" bestFit="1" customWidth="1"/>
    <col min="9" max="9" width="14.42578125" bestFit="1" customWidth="1"/>
    <col min="10" max="10" width="28.85546875" bestFit="1" customWidth="1"/>
    <col min="11" max="11" width="14.42578125" bestFit="1" customWidth="1"/>
    <col min="12" max="12" width="28.85546875" bestFit="1" customWidth="1"/>
    <col min="13" max="13" width="14.42578125" bestFit="1" customWidth="1"/>
    <col min="14" max="14" width="28.85546875" bestFit="1" customWidth="1"/>
    <col min="15" max="15" width="14.42578125" bestFit="1" customWidth="1"/>
    <col min="16" max="16" width="28.85546875" bestFit="1" customWidth="1"/>
    <col min="17" max="17" width="14.42578125" bestFit="1" customWidth="1"/>
    <col min="18" max="18" width="28.8554687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bestFit="1" customWidth="1"/>
    <col min="33" max="33" width="14.42578125" bestFit="1" customWidth="1"/>
    <col min="34" max="34" width="7.7109375" bestFit="1" customWidth="1"/>
    <col min="35" max="35" width="10.28515625" bestFit="1" customWidth="1"/>
  </cols>
  <sheetData>
    <row r="2" spans="1:35" s="21" customFormat="1" ht="15.75" customHeight="1" x14ac:dyDescent="0.25">
      <c r="B2" s="22" t="s">
        <v>9</v>
      </c>
      <c r="C2" s="23" t="s">
        <v>10</v>
      </c>
      <c r="D2" s="23" t="s">
        <v>11</v>
      </c>
      <c r="E2" s="23" t="s">
        <v>12</v>
      </c>
      <c r="F2" s="23" t="s">
        <v>11</v>
      </c>
      <c r="G2" s="23" t="s">
        <v>12</v>
      </c>
      <c r="H2" s="23" t="s">
        <v>11</v>
      </c>
      <c r="I2" s="23" t="s">
        <v>12</v>
      </c>
      <c r="J2" s="23" t="s">
        <v>11</v>
      </c>
      <c r="K2" s="23" t="s">
        <v>12</v>
      </c>
      <c r="L2" s="24" t="s">
        <v>11</v>
      </c>
      <c r="M2" s="24" t="s">
        <v>12</v>
      </c>
      <c r="N2" s="24" t="s">
        <v>11</v>
      </c>
      <c r="O2" s="24" t="s">
        <v>12</v>
      </c>
      <c r="P2" s="24" t="s">
        <v>11</v>
      </c>
      <c r="Q2" s="24" t="s">
        <v>12</v>
      </c>
      <c r="R2" s="24" t="s">
        <v>11</v>
      </c>
      <c r="S2" s="24" t="s">
        <v>12</v>
      </c>
      <c r="T2" s="24" t="s">
        <v>11</v>
      </c>
      <c r="U2" s="24" t="s">
        <v>12</v>
      </c>
      <c r="V2" s="24" t="s">
        <v>11</v>
      </c>
      <c r="W2" s="24" t="s">
        <v>12</v>
      </c>
      <c r="X2" s="24" t="s">
        <v>11</v>
      </c>
      <c r="Y2" s="24" t="s">
        <v>12</v>
      </c>
      <c r="Z2" s="24" t="s">
        <v>11</v>
      </c>
      <c r="AA2" s="24" t="s">
        <v>12</v>
      </c>
      <c r="AB2" s="24" t="s">
        <v>11</v>
      </c>
      <c r="AC2" s="24" t="s">
        <v>12</v>
      </c>
      <c r="AD2" s="24" t="s">
        <v>11</v>
      </c>
      <c r="AE2" s="24" t="s">
        <v>12</v>
      </c>
      <c r="AF2" s="24" t="s">
        <v>11</v>
      </c>
      <c r="AG2" s="24" t="s">
        <v>12</v>
      </c>
    </row>
    <row r="3" spans="1:35" s="21" customFormat="1" ht="15.75" customHeight="1" x14ac:dyDescent="0.25">
      <c r="B3" s="35" t="s">
        <v>13</v>
      </c>
      <c r="C3" s="36"/>
      <c r="D3" s="25">
        <v>43587</v>
      </c>
      <c r="E3" s="26">
        <v>43587</v>
      </c>
      <c r="F3" s="27">
        <v>43588</v>
      </c>
      <c r="G3" s="26">
        <v>43588</v>
      </c>
      <c r="H3" s="27">
        <v>43591</v>
      </c>
      <c r="I3" s="25">
        <v>43591</v>
      </c>
      <c r="J3" s="28">
        <v>43592</v>
      </c>
      <c r="K3" s="29">
        <v>43592</v>
      </c>
      <c r="L3" s="30">
        <v>43593</v>
      </c>
      <c r="M3" s="31">
        <v>43593</v>
      </c>
      <c r="N3" s="30">
        <v>43594</v>
      </c>
      <c r="O3" s="31">
        <v>43594</v>
      </c>
      <c r="P3" s="30">
        <v>43595</v>
      </c>
      <c r="Q3" s="31">
        <v>43595</v>
      </c>
      <c r="R3" s="30">
        <v>43598</v>
      </c>
      <c r="S3" s="31">
        <v>43598</v>
      </c>
      <c r="T3" s="30">
        <v>43599</v>
      </c>
      <c r="U3" s="31">
        <v>43599</v>
      </c>
      <c r="V3" s="30">
        <v>43600</v>
      </c>
      <c r="W3" s="31">
        <v>43600</v>
      </c>
      <c r="X3" s="30">
        <v>43601</v>
      </c>
      <c r="Y3" s="31">
        <v>43601</v>
      </c>
      <c r="Z3" s="30">
        <v>43602</v>
      </c>
      <c r="AA3" s="31">
        <v>43602</v>
      </c>
      <c r="AB3" s="30">
        <v>43605</v>
      </c>
      <c r="AC3" s="32">
        <v>43605</v>
      </c>
      <c r="AD3" s="30"/>
      <c r="AE3" s="31"/>
      <c r="AF3" s="30"/>
      <c r="AG3" s="31"/>
    </row>
    <row r="4" spans="1:35" s="44" customFormat="1" ht="16.5" customHeight="1" x14ac:dyDescent="0.25">
      <c r="A4" s="45" t="s">
        <v>14</v>
      </c>
      <c r="B4" s="37" t="s">
        <v>8</v>
      </c>
      <c r="C4" s="38">
        <v>49444</v>
      </c>
      <c r="D4" s="39">
        <v>4.5599999999999996</v>
      </c>
      <c r="E4" s="40">
        <v>1577.93</v>
      </c>
      <c r="F4" s="39">
        <v>4.54</v>
      </c>
      <c r="G4" s="40">
        <v>1584</v>
      </c>
      <c r="H4" s="39">
        <v>4.5199999999999996</v>
      </c>
      <c r="I4" s="40">
        <v>1589.46</v>
      </c>
      <c r="J4" s="41">
        <v>4.5</v>
      </c>
      <c r="K4" s="42">
        <v>1594.93</v>
      </c>
      <c r="L4" s="41">
        <v>4.49</v>
      </c>
      <c r="M4" s="42">
        <v>1597.97</v>
      </c>
      <c r="N4" s="41">
        <v>4.49</v>
      </c>
      <c r="O4" s="42">
        <v>1598.57</v>
      </c>
      <c r="P4" s="41">
        <v>4.4400000000000004</v>
      </c>
      <c r="Q4" s="42">
        <v>1611.49</v>
      </c>
      <c r="R4" s="41">
        <v>4.42</v>
      </c>
      <c r="S4" s="42">
        <v>1617.01</v>
      </c>
      <c r="T4" s="41">
        <v>4.46</v>
      </c>
      <c r="U4" s="42">
        <v>1607.74</v>
      </c>
      <c r="V4" s="41">
        <v>4.42</v>
      </c>
      <c r="W4" s="42">
        <v>1618.02</v>
      </c>
      <c r="X4" s="41">
        <v>4.42</v>
      </c>
      <c r="Y4" s="42">
        <v>1618.45</v>
      </c>
      <c r="Z4" s="41">
        <v>4.4400000000000004</v>
      </c>
      <c r="AA4" s="43">
        <v>1614.25</v>
      </c>
      <c r="AB4" s="41">
        <v>4.47</v>
      </c>
      <c r="AC4" s="42">
        <v>1607.3</v>
      </c>
      <c r="AD4" s="32"/>
      <c r="AE4" s="31"/>
      <c r="AF4" s="30"/>
      <c r="AG4" s="31"/>
    </row>
    <row r="5" spans="1:35" s="49" customFormat="1" ht="15.75" customHeight="1" x14ac:dyDescent="0.25">
      <c r="A5" s="34" t="s">
        <v>15</v>
      </c>
      <c r="B5" s="33" t="s">
        <v>8</v>
      </c>
      <c r="C5" s="13">
        <v>49444</v>
      </c>
      <c r="D5" s="14">
        <v>4.4400000000000004</v>
      </c>
      <c r="E5" s="15">
        <v>1607.16</v>
      </c>
      <c r="F5" s="16">
        <v>4.42</v>
      </c>
      <c r="G5" s="15">
        <v>1613.35</v>
      </c>
      <c r="H5" s="14">
        <v>4.4000000000000004</v>
      </c>
      <c r="I5" s="15">
        <v>1618.9</v>
      </c>
      <c r="J5" s="17">
        <v>4.38</v>
      </c>
      <c r="K5" s="18">
        <v>1624.47</v>
      </c>
      <c r="L5" s="17">
        <v>4.37</v>
      </c>
      <c r="M5" s="18">
        <v>1627.56</v>
      </c>
      <c r="N5" s="17">
        <v>4.37</v>
      </c>
      <c r="O5" s="18">
        <v>1628.17</v>
      </c>
      <c r="P5" s="17">
        <v>4.32</v>
      </c>
      <c r="Q5" s="18">
        <v>1641.34</v>
      </c>
      <c r="R5" s="17">
        <v>4.3</v>
      </c>
      <c r="S5" s="18">
        <v>1646.95</v>
      </c>
      <c r="T5" s="17">
        <v>4.34</v>
      </c>
      <c r="U5" s="18">
        <v>1637.49</v>
      </c>
      <c r="V5" s="17">
        <v>4.3</v>
      </c>
      <c r="W5" s="18">
        <v>1647.97</v>
      </c>
      <c r="X5" s="17">
        <v>4.3</v>
      </c>
      <c r="Y5" s="18">
        <v>1648.4</v>
      </c>
      <c r="Z5" s="17">
        <v>4.32</v>
      </c>
      <c r="AA5" s="18">
        <v>1644.1</v>
      </c>
      <c r="AB5" s="17">
        <v>4.3499999999999996</v>
      </c>
      <c r="AC5" s="18">
        <v>1637.01</v>
      </c>
      <c r="AD5" s="14"/>
      <c r="AE5" s="19"/>
      <c r="AF5" s="20"/>
      <c r="AG5" s="14"/>
      <c r="AH5" s="19"/>
      <c r="AI5" s="20"/>
    </row>
    <row r="6" spans="1:35" s="50" customFormat="1" x14ac:dyDescent="0.25">
      <c r="A6" s="48" t="s">
        <v>16</v>
      </c>
      <c r="B6" s="51">
        <f>'020519'!C2</f>
        <v>401.79</v>
      </c>
      <c r="C6" s="52">
        <v>43587</v>
      </c>
      <c r="D6" s="51">
        <f>(D4/365)*$B$6</f>
        <v>5.01962301369863</v>
      </c>
      <c r="E6" s="53">
        <f>$B$6/E4</f>
        <v>0.25463106728435353</v>
      </c>
      <c r="F6" s="51">
        <f>(F4/365)*$B$6</f>
        <v>4.9976071232876711</v>
      </c>
      <c r="G6" s="53">
        <f>$B$6/G4</f>
        <v>0.25365530303030304</v>
      </c>
      <c r="H6" s="51">
        <f t="shared" ref="H6:AC6" si="0">(H4/365)*$B$6</f>
        <v>4.9755912328767122</v>
      </c>
      <c r="I6" s="53">
        <f t="shared" ref="I6:AC6" si="1">$B$6/I4</f>
        <v>0.25278396436525613</v>
      </c>
      <c r="J6" s="51">
        <f t="shared" ref="J6:AC6" si="2">(J4/365)*$B$6</f>
        <v>4.9535753424657534</v>
      </c>
      <c r="K6" s="53">
        <f t="shared" ref="K6:AC6" si="3">$B$6/K4</f>
        <v>0.251917012031876</v>
      </c>
      <c r="L6" s="51">
        <f t="shared" ref="L6:AC6" si="4">(L4/365)*$B$6</f>
        <v>4.9425673972602748</v>
      </c>
      <c r="M6" s="53">
        <f t="shared" ref="M6:AC6" si="5">$B$6/M4</f>
        <v>0.25143776166010628</v>
      </c>
      <c r="N6" s="51">
        <f t="shared" ref="N6:AC6" si="6">(N4/365)*$B$6</f>
        <v>4.9425673972602748</v>
      </c>
      <c r="O6" s="53">
        <f t="shared" ref="O6:AC6" si="7">$B$6/O4</f>
        <v>0.25134338815316193</v>
      </c>
      <c r="P6" s="51">
        <f t="shared" ref="P6:AC6" si="8">(P4/365)*$B$6</f>
        <v>4.8875276712328777</v>
      </c>
      <c r="Q6" s="53">
        <f t="shared" ref="Q6:AC6" si="9">$B$6/Q4</f>
        <v>0.24932826142265854</v>
      </c>
      <c r="R6" s="51">
        <f t="shared" ref="R6:AC6" si="10">(R4/365)*$B$6</f>
        <v>4.8655117808219179</v>
      </c>
      <c r="S6" s="53">
        <f t="shared" ref="S6:AC6" si="11">$B$6/S4</f>
        <v>0.24847712753786311</v>
      </c>
      <c r="T6" s="51">
        <f t="shared" ref="T6:AC6" si="12">(T4/365)*$B$6</f>
        <v>4.9095435616438357</v>
      </c>
      <c r="U6" s="53">
        <f t="shared" ref="U6:AC6" si="13">$B$6/U4</f>
        <v>0.24990981128789483</v>
      </c>
      <c r="V6" s="51">
        <f t="shared" ref="V6:AC6" si="14">(V4/365)*$B$6</f>
        <v>4.8655117808219179</v>
      </c>
      <c r="W6" s="53">
        <f t="shared" ref="W6:AC6" si="15">$B$6/W4</f>
        <v>0.24832202321355731</v>
      </c>
      <c r="X6" s="51">
        <f t="shared" ref="X6:AC6" si="16">(X4/365)*$B$6</f>
        <v>4.8655117808219179</v>
      </c>
      <c r="Y6" s="53">
        <f t="shared" ref="Y6:AC6" si="17">$B$6/Y4</f>
        <v>0.2482560474528098</v>
      </c>
      <c r="Z6" s="51">
        <f t="shared" ref="Z6:AC6" si="18">(Z4/365)*$B$6</f>
        <v>4.8875276712328777</v>
      </c>
      <c r="AA6" s="53">
        <f t="shared" ref="AA6:AC6" si="19">$B$6/AA4</f>
        <v>0.24890196685767385</v>
      </c>
      <c r="AB6" s="51">
        <f t="shared" ref="AB6:AC6" si="20">(AB4/365)*$B$6</f>
        <v>4.9205515068493151</v>
      </c>
      <c r="AC6" s="53">
        <f t="shared" ref="AC6:AC7" si="21">$B$6/AC4</f>
        <v>0.24997822435139677</v>
      </c>
    </row>
    <row r="7" spans="1:35" x14ac:dyDescent="0.25">
      <c r="A7" s="48" t="s">
        <v>17</v>
      </c>
      <c r="B7" s="51">
        <f>'020519'!C2</f>
        <v>401.79</v>
      </c>
      <c r="C7" s="52">
        <v>43587</v>
      </c>
      <c r="D7" s="51">
        <f>(D5/365)*$B$6</f>
        <v>4.8875276712328777</v>
      </c>
      <c r="E7" s="53">
        <f>$B$6/E5</f>
        <v>0.25</v>
      </c>
      <c r="F7" s="51">
        <f t="shared" ref="F7:AC7" si="22">(F5/365)*$B$6</f>
        <v>4.8655117808219179</v>
      </c>
      <c r="G7" s="53">
        <f t="shared" ref="G7:AC7" si="23">$B$6/G5</f>
        <v>0.24904081569405279</v>
      </c>
      <c r="H7" s="51">
        <f t="shared" ref="H7:AC7" si="24">(H5/365)*$B$6</f>
        <v>4.8434958904109591</v>
      </c>
      <c r="I7" s="53">
        <f t="shared" ref="I7:AC7" si="25">$B$6/I5</f>
        <v>0.248187040583112</v>
      </c>
      <c r="J7" s="51">
        <f t="shared" ref="J7:AC7" si="26">(J5/365)*$B$6</f>
        <v>4.8214800000000002</v>
      </c>
      <c r="K7" s="53">
        <f t="shared" ref="K7:AC7" si="27">$B$6/K5</f>
        <v>0.24733605422076124</v>
      </c>
      <c r="L7" s="51">
        <f t="shared" ref="L7:AC7" si="28">(L5/365)*$B$6</f>
        <v>4.8104720547945208</v>
      </c>
      <c r="M7" s="53">
        <f t="shared" ref="M7:AC7" si="29">$B$6/M5</f>
        <v>0.24686647496866476</v>
      </c>
      <c r="N7" s="51">
        <f t="shared" ref="N7:AC7" si="30">(N5/365)*$B$6</f>
        <v>4.8104720547945208</v>
      </c>
      <c r="O7" s="53">
        <f t="shared" ref="O7:AC7" si="31">$B$6/O5</f>
        <v>0.24677398551748281</v>
      </c>
      <c r="P7" s="51">
        <f t="shared" ref="P7:AC7" si="32">(P5/365)*$B$6</f>
        <v>4.7554323287671245</v>
      </c>
      <c r="Q7" s="53">
        <f t="shared" ref="Q7:AC7" si="33">$B$6/Q5</f>
        <v>0.24479388792084519</v>
      </c>
      <c r="R7" s="51">
        <f t="shared" ref="R7:AC7" si="34">(R5/365)*$B$6</f>
        <v>4.7334164383561648</v>
      </c>
      <c r="S7" s="53">
        <f t="shared" ref="S7:AC7" si="35">$B$6/S5</f>
        <v>0.24396004736027202</v>
      </c>
      <c r="T7" s="51">
        <f t="shared" ref="T7:AC7" si="36">(T5/365)*$B$6</f>
        <v>4.7774482191780825</v>
      </c>
      <c r="U7" s="53">
        <f t="shared" ref="U7:AC7" si="37">$B$6/U5</f>
        <v>0.2453694373706099</v>
      </c>
      <c r="V7" s="51">
        <f t="shared" ref="V7:AC7" si="38">(V5/365)*$B$6</f>
        <v>4.7334164383561648</v>
      </c>
      <c r="W7" s="53">
        <f t="shared" ref="W7:AC7" si="39">$B$6/W5</f>
        <v>0.24380904992202529</v>
      </c>
      <c r="X7" s="51">
        <f t="shared" ref="X7:AC7" si="40">(X5/365)*$B$6</f>
        <v>4.7334164383561648</v>
      </c>
      <c r="Y7" s="53">
        <f t="shared" ref="Y7:AC7" si="41">$B$6/Y5</f>
        <v>0.24374545013346274</v>
      </c>
      <c r="Z7" s="51">
        <f t="shared" ref="Z7:AC7" si="42">(Z5/365)*$B$6</f>
        <v>4.7554323287671245</v>
      </c>
      <c r="AA7" s="53">
        <f t="shared" ref="AA7:AC7" si="43">$B$6/AA5</f>
        <v>0.24438294507633357</v>
      </c>
      <c r="AB7" s="51">
        <f t="shared" ref="AB7:AC7" si="44">(AB5/365)*$B$6</f>
        <v>4.788456164383561</v>
      </c>
      <c r="AC7" s="53">
        <f t="shared" si="21"/>
        <v>0.24544138398665863</v>
      </c>
    </row>
    <row r="10" spans="1:35" x14ac:dyDescent="0.25">
      <c r="AC10" s="6"/>
    </row>
    <row r="11" spans="1:35" x14ac:dyDescent="0.25">
      <c r="AC11" s="6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020519</vt:lpstr>
      <vt:lpstr>PLANILHAS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2019-05-20T16:52:27Z</dcterms:modified>
</cp:coreProperties>
</file>