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H7" i="2" l="1"/>
  <c r="I7" i="2"/>
  <c r="J7" i="2"/>
  <c r="K7" i="2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L7" i="2"/>
  <c r="N7" i="2"/>
  <c r="P7" i="2"/>
  <c r="R7" i="2"/>
  <c r="T7" i="2"/>
  <c r="V7" i="2"/>
  <c r="X7" i="2"/>
  <c r="Z7" i="2"/>
  <c r="AB7" i="2"/>
  <c r="AD7" i="2"/>
  <c r="AF7" i="2"/>
  <c r="I6" i="2"/>
  <c r="K6" i="2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G7" i="2"/>
  <c r="G6" i="2"/>
  <c r="E7" i="2"/>
  <c r="E6" i="2"/>
  <c r="B6" i="2" l="1"/>
  <c r="H6" i="2" l="1"/>
  <c r="L6" i="2"/>
  <c r="P6" i="2"/>
  <c r="T6" i="2"/>
  <c r="X6" i="2"/>
  <c r="AB6" i="2"/>
  <c r="AF6" i="2"/>
  <c r="J6" i="2"/>
  <c r="N6" i="2"/>
  <c r="R6" i="2"/>
  <c r="V6" i="2"/>
  <c r="Z6" i="2"/>
  <c r="AD6" i="2"/>
  <c r="F7" i="2"/>
  <c r="F6" i="2"/>
  <c r="D7" i="2"/>
  <c r="D6" i="2"/>
  <c r="B7" i="2" l="1"/>
  <c r="H2" i="1"/>
  <c r="G2" i="1"/>
  <c r="E2" i="1"/>
  <c r="F2" i="1"/>
  <c r="A2" i="1"/>
</calcChain>
</file>

<file path=xl/sharedStrings.xml><?xml version="1.0" encoding="utf-8"?>
<sst xmlns="http://schemas.openxmlformats.org/spreadsheetml/2006/main" count="47" uniqueCount="18">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</sst>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8" fontId="3" fillId="3" borderId="2" xfId="0" applyNumberFormat="1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0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2" borderId="8" xfId="0" applyNumberFormat="1" applyFont="1" applyFill="1" applyBorder="1" applyAlignment="1">
      <alignment horizontal="center"/>
    </xf>
    <xf numFmtId="164" fontId="3" fillId="2" borderId="9" xfId="0" applyNumberFormat="1" applyFont="1" applyFill="1" applyBorder="1" applyAlignment="1">
      <alignment horizontal="center"/>
    </xf>
    <xf numFmtId="16" fontId="3" fillId="3" borderId="8" xfId="0" applyNumberFormat="1" applyFont="1" applyFill="1" applyBorder="1" applyAlignment="1">
      <alignment horizontal="center" wrapText="1"/>
    </xf>
    <xf numFmtId="16" fontId="3" fillId="3" borderId="9" xfId="0" applyNumberFormat="1" applyFont="1" applyFill="1" applyBorder="1" applyAlignment="1">
      <alignment horizontal="center" wrapText="1"/>
    </xf>
    <xf numFmtId="16" fontId="3" fillId="3" borderId="10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11" xfId="0" applyFont="1" applyBorder="1" applyAlignment="1"/>
    <xf numFmtId="0" fontId="3" fillId="2" borderId="8" xfId="0" applyFont="1" applyFill="1" applyBorder="1" applyAlignment="1">
      <alignment horizontal="left"/>
    </xf>
    <xf numFmtId="14" fontId="3" fillId="2" borderId="9" xfId="0" applyNumberFormat="1" applyFont="1" applyFill="1" applyBorder="1" applyAlignment="1">
      <alignment horizontal="center"/>
    </xf>
    <xf numFmtId="0" fontId="3" fillId="3" borderId="10" xfId="0" applyFont="1" applyFill="1" applyBorder="1" applyAlignment="1">
      <alignment wrapText="1"/>
    </xf>
    <xf numFmtId="14" fontId="3" fillId="3" borderId="10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8" fontId="3" fillId="3" borderId="9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vertical="center"/>
    </xf>
    <xf numFmtId="8" fontId="3" fillId="3" borderId="9" xfId="0" applyNumberFormat="1" applyFont="1" applyFill="1" applyBorder="1" applyAlignment="1">
      <alignment horizontal="center" vertical="center"/>
    </xf>
    <xf numFmtId="8" fontId="3" fillId="3" borderId="10" xfId="0" applyNumberFormat="1" applyFont="1" applyFill="1" applyBorder="1" applyAlignment="1">
      <alignment horizontal="center" vertical="center"/>
    </xf>
    <xf numFmtId="0" fontId="0" fillId="0" borderId="10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8" fontId="0" fillId="0" borderId="4" xfId="0" applyNumberFormat="1" applyBorder="1"/>
    <xf numFmtId="14" fontId="2" fillId="0" borderId="5" xfId="0" applyNumberFormat="1" applyFont="1" applyBorder="1" applyAlignment="1"/>
    <xf numFmtId="0" fontId="3" fillId="3" borderId="12" xfId="0" applyFont="1" applyFill="1" applyBorder="1" applyAlignment="1">
      <alignment horizontal="center" vertical="center"/>
    </xf>
    <xf numFmtId="8" fontId="3" fillId="3" borderId="13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0" fontId="0" fillId="0" borderId="4" xfId="0" applyNumberFormat="1" applyBorder="1"/>
    <xf numFmtId="2" fontId="0" fillId="0" borderId="4" xfId="0" applyNumberFormat="1" applyBorder="1"/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GRAFICO!$B$2:$AG$3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GRAFICO!$B$6:$AG$6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(GRAFICO!$D$6,GRAFICO!$F$6,GRAFICO!$H$6,GRAFICO!$J$6,GRAFICO!$L$6,GRAFICO!$N$6,GRAFICO!$P$6,GRAFICO!$R$6,GRAFICO!$T$6,GRAFICO!$V$6,GRAFICO!$X$6,GRAFICO!$Z$6,GRAFICO!$AB$6,GRAFICO!$AD$6,GRAFICO!$AF$6)</c:f>
              <c:numCache>
                <c:formatCode>m/d/yyyy</c:formatCode>
                <c:ptCount val="15"/>
                <c:pt idx="0" formatCode="0.00">
                  <c:v>0.25509721654232453</c:v>
                </c:pt>
                <c:pt idx="1" formatCode="0.00">
                  <c:v>0.25411966597135743</c:v>
                </c:pt>
                <c:pt idx="2" formatCode="0.00">
                  <c:v>0.25324673215974619</c:v>
                </c:pt>
                <c:pt idx="3" formatCode="0.00">
                  <c:v>0.252378192709793</c:v>
                </c:pt>
                <c:pt idx="4" formatCode="0.00">
                  <c:v>0.25189806498158923</c:v>
                </c:pt>
                <c:pt idx="5" formatCode="0.00">
                  <c:v>0.25180351870648782</c:v>
                </c:pt>
                <c:pt idx="6" formatCode="0.00">
                  <c:v>0.2497847029138438</c:v>
                </c:pt>
                <c:pt idx="7" formatCode="0.00">
                  <c:v>0.24893201087107078</c:v>
                </c:pt>
                <c:pt idx="8" formatCode="0.00">
                  <c:v>0.25036731741365531</c:v>
                </c:pt>
                <c:pt idx="9" formatCode="0.00">
                  <c:v>0.24877662259961569</c:v>
                </c:pt>
                <c:pt idx="10" formatCode="0.00">
                  <c:v>0.24871052605803712</c:v>
                </c:pt>
                <c:pt idx="11" formatCode="0.00">
                  <c:v>0.24935762793782262</c:v>
                </c:pt>
                <c:pt idx="12" formatCode="0.00">
                  <c:v>0.25043585571992172</c:v>
                </c:pt>
                <c:pt idx="13" formatCode="0.00">
                  <c:v>0.24358433588821257</c:v>
                </c:pt>
                <c:pt idx="14" formatCode="0.00">
                  <c:v>0.24613729669654585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GRAFICO!$B$2:$AG$3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GRAFICO!$B$7:$AG$7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(GRAFICO!$D$7,GRAFICO!$F$7,GRAFICO!$H$7,GRAFICO!$J$7,GRAFICO!$L$7,GRAFICO!$N$7,GRAFICO!$P$7,GRAFICO!$R$7,GRAFICO!$T$7,GRAFICO!$V$7,GRAFICO!$X$7,GRAFICO!$Z$7,GRAFICO!$AB$7,GRAFICO!$AD$7,GRAFICO!$AF$7)</c:f>
              <c:numCache>
                <c:formatCode>m/d/yyyy</c:formatCode>
                <c:ptCount val="15"/>
                <c:pt idx="0" formatCode="General">
                  <c:v>0.25</c:v>
                </c:pt>
                <c:pt idx="1" formatCode="0.00">
                  <c:v>0.24949673096267405</c:v>
                </c:pt>
                <c:pt idx="2" formatCode="0.00">
                  <c:v>0.24864139285850279</c:v>
                </c:pt>
                <c:pt idx="3" formatCode="0.00">
                  <c:v>0.24778884860824155</c:v>
                </c:pt>
                <c:pt idx="4" formatCode="0.00">
                  <c:v>0.24731840970448413</c:v>
                </c:pt>
                <c:pt idx="5" formatCode="0.00">
                  <c:v>0.24722575093425758</c:v>
                </c:pt>
                <c:pt idx="6" formatCode="0.00">
                  <c:v>0.24524202840278686</c:v>
                </c:pt>
                <c:pt idx="7" formatCode="0.00">
                  <c:v>0.24440666134286418</c:v>
                </c:pt>
                <c:pt idx="8" formatCode="0.00">
                  <c:v>0.24581863150225661</c:v>
                </c:pt>
                <c:pt idx="9" formatCode="0.00">
                  <c:v>0.24425538747588255</c:v>
                </c:pt>
                <c:pt idx="10" formatCode="0.00">
                  <c:v>0.24419167125614544</c:v>
                </c:pt>
                <c:pt idx="11" formatCode="0.00">
                  <c:v>0.2448303332514021</c:v>
                </c:pt>
                <c:pt idx="12" formatCode="0.00">
                  <c:v>0.2458907098298912</c:v>
                </c:pt>
                <c:pt idx="13" formatCode="0.00">
                  <c:v>0.24808817874689842</c:v>
                </c:pt>
                <c:pt idx="14" formatCode="0.00">
                  <c:v>0.24166709747639328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017504"/>
        <c:axId val="1770142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GRAFICO!$B$2:$AG$3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GRAFICO!$B$4:$AG$4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4.29</c:v>
                      </c:pt>
                      <c:pt idx="14" formatCode="General">
                        <c:v>4.3600000000000003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GRAFICO!$B$2:$AG$3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GRAFICO!$B$5:$AG$5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4.41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01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14240"/>
        <c:crosses val="autoZero"/>
        <c:auto val="1"/>
        <c:lblAlgn val="ctr"/>
        <c:lblOffset val="100"/>
        <c:noMultiLvlLbl val="0"/>
      </c:catAx>
      <c:valAx>
        <c:axId val="17701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1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GRAFICO!$B$2:$AC$3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GRAFICO!$B$4:$AC$4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(GRAFICO!$E$4,GRAFICO!$G$4,GRAFICO!$I$4,GRAFICO!$K$4,GRAFICO!$M$4,GRAFICO!$O$4,GRAFICO!$Q$4,GRAFICO!$S$4,GRAFICO!$U$4,GRAFICO!$W$4,GRAFICO!$Y$4,GRAFICO!$AA$4,GRAFICO!$AC$4)</c:f>
              <c:numCache>
                <c:formatCode>m/d/yyyy</c:formatCode>
                <c:ptCount val="13"/>
                <c:pt idx="0" formatCode="&quot;R$&quot;#,##0.00_);[Red]\(&quot;R$&quot;#,##0.00\)">
                  <c:v>1577.93</c:v>
                </c:pt>
                <c:pt idx="1" formatCode="&quot;R$&quot;#,##0.00_);[Red]\(&quot;R$&quot;#,##0.00\)">
                  <c:v>1584</c:v>
                </c:pt>
                <c:pt idx="2" formatCode="&quot;R$&quot;#,##0.00_);[Red]\(&quot;R$&quot;#,##0.00\)">
                  <c:v>1589.46</c:v>
                </c:pt>
                <c:pt idx="3" formatCode="&quot;R$&quot;#,##0.00_);[Red]\(&quot;R$&quot;#,##0.00\)">
                  <c:v>1594.93</c:v>
                </c:pt>
                <c:pt idx="4" formatCode="&quot;R$&quot;#,##0.00_);[Red]\(&quot;R$&quot;#,##0.00\)">
                  <c:v>1597.97</c:v>
                </c:pt>
                <c:pt idx="5" formatCode="&quot;R$&quot;#,##0.00_);[Red]\(&quot;R$&quot;#,##0.00\)">
                  <c:v>1598.57</c:v>
                </c:pt>
                <c:pt idx="6" formatCode="&quot;R$&quot;#,##0.00_);[Red]\(&quot;R$&quot;#,##0.00\)">
                  <c:v>1611.49</c:v>
                </c:pt>
                <c:pt idx="7" formatCode="&quot;R$&quot;#,##0.00_);[Red]\(&quot;R$&quot;#,##0.00\)">
                  <c:v>1617.01</c:v>
                </c:pt>
                <c:pt idx="8" formatCode="&quot;R$&quot;#,##0.00_);[Red]\(&quot;R$&quot;#,##0.00\)">
                  <c:v>1607.74</c:v>
                </c:pt>
                <c:pt idx="9" formatCode="&quot;R$&quot;#,##0.00_);[Red]\(&quot;R$&quot;#,##0.00\)">
                  <c:v>1618.02</c:v>
                </c:pt>
                <c:pt idx="10" formatCode="&quot;R$&quot;#,##0.00_);[Red]\(&quot;R$&quot;#,##0.00\)">
                  <c:v>1618.45</c:v>
                </c:pt>
                <c:pt idx="11" formatCode="&quot;R$&quot;#,##0.00_);[Red]\(&quot;R$&quot;#,##0.00\)">
                  <c:v>1614.25</c:v>
                </c:pt>
                <c:pt idx="12" formatCode="&quot;R$&quot;#,##0.00_);[Red]\(&quot;R$&quot;#,##0.00\)">
                  <c:v>1607.3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GRAFICO!$B$2:$AC$3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GRAFICO!$B$5:$AC$5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(GRAFICO!$E$5,GRAFICO!$G$5,GRAFICO!$I$5,GRAFICO!$K$5,GRAFICO!$M$5,GRAFICO!$O$5,GRAFICO!$Q$5,GRAFICO!$S$5,GRAFICO!$U$5,GRAFICO!$W$5,GRAFICO!$Y$5,GRAFICO!$AA$5,GRAFICO!$AC$5)</c:f>
              <c:numCache>
                <c:formatCode>m/d/yyyy</c:formatCode>
                <c:ptCount val="13"/>
                <c:pt idx="0" formatCode="&quot;R$&quot;#,##0.00_);[Red]\(&quot;R$&quot;#,##0.00\)">
                  <c:v>1607.16</c:v>
                </c:pt>
                <c:pt idx="1" formatCode="&quot;R$&quot;#,##0.00_);[Red]\(&quot;R$&quot;#,##0.00\)">
                  <c:v>1613.35</c:v>
                </c:pt>
                <c:pt idx="2" formatCode="&quot;R$&quot;#,##0.00_);[Red]\(&quot;R$&quot;#,##0.00\)">
                  <c:v>1618.9</c:v>
                </c:pt>
                <c:pt idx="3" formatCode="&quot;R$&quot;#,##0.00_);[Red]\(&quot;R$&quot;#,##0.00\)">
                  <c:v>1624.47</c:v>
                </c:pt>
                <c:pt idx="4" formatCode="&quot;R$&quot;#,##0.00_);[Red]\(&quot;R$&quot;#,##0.00\)">
                  <c:v>1627.56</c:v>
                </c:pt>
                <c:pt idx="5" formatCode="&quot;R$&quot;#,##0.00_);[Red]\(&quot;R$&quot;#,##0.00\)">
                  <c:v>1628.17</c:v>
                </c:pt>
                <c:pt idx="6" formatCode="&quot;R$&quot;#,##0.00_);[Red]\(&quot;R$&quot;#,##0.00\)">
                  <c:v>1641.34</c:v>
                </c:pt>
                <c:pt idx="7" formatCode="&quot;R$&quot;#,##0.00_);[Red]\(&quot;R$&quot;#,##0.00\)">
                  <c:v>1646.95</c:v>
                </c:pt>
                <c:pt idx="8" formatCode="&quot;R$&quot;#,##0.00_);[Red]\(&quot;R$&quot;#,##0.00\)">
                  <c:v>1637.49</c:v>
                </c:pt>
                <c:pt idx="9" formatCode="&quot;R$&quot;#,##0.00_);[Red]\(&quot;R$&quot;#,##0.00\)">
                  <c:v>1647.97</c:v>
                </c:pt>
                <c:pt idx="10" formatCode="&quot;R$&quot;#,##0.00_);[Red]\(&quot;R$&quot;#,##0.00\)">
                  <c:v>1648.4</c:v>
                </c:pt>
                <c:pt idx="11" formatCode="&quot;R$&quot;#,##0.00_);[Red]\(&quot;R$&quot;#,##0.00\)">
                  <c:v>1644.1</c:v>
                </c:pt>
                <c:pt idx="12" formatCode="&quot;R$&quot;#,##0.00_);[Red]\(&quot;R$&quot;#,##0.00\)">
                  <c:v>1637.01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013152"/>
        <c:axId val="177013696"/>
      </c:lineChart>
      <c:catAx>
        <c:axId val="17701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13696"/>
        <c:crosses val="autoZero"/>
        <c:auto val="1"/>
        <c:lblAlgn val="ctr"/>
        <c:lblOffset val="100"/>
        <c:noMultiLvlLbl val="0"/>
      </c:catAx>
      <c:valAx>
        <c:axId val="17701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1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GRAFICO!$B$2:$AG$3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GRAFICO!$B$6:$AG$6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(GRAFICO!$E$6,GRAFICO!$G$6,GRAFICO!$I$6,GRAFICO!$K$6,GRAFICO!$M$6,GRAFICO!$O$6,GRAFICO!$Q$6,GRAFICO!$S$6,GRAFICO!$U$6,GRAFICO!$W$6,GRAFICO!$Y$6,GRAFICO!$AA$6,GRAFICO!$AC$6,GRAFICO!$AE$6,GRAFICO!$AG$6)</c:f>
              <c:numCache>
                <c:formatCode>m/d/yyyy</c:formatCode>
                <c:ptCount val="15"/>
                <c:pt idx="0" formatCode="_(&quot;R$&quot;* #,##0.00_);_(&quot;R$&quot;* \(#,##0.00\);_(&quot;R$&quot;* &quot;-&quot;??_);_(@_)">
                  <c:v>5.0196230136986299E-2</c:v>
                </c:pt>
                <c:pt idx="1" formatCode="_(&quot;R$&quot;* #,##0.00_);_(&quot;R$&quot;* \(#,##0.00\);_(&quot;R$&quot;* &quot;-&quot;??_);_(@_)">
                  <c:v>0.10017230136986301</c:v>
                </c:pt>
                <c:pt idx="2" formatCode="_(&quot;R$&quot;* #,##0.00_);_(&quot;R$&quot;* \(#,##0.00\);_(&quot;R$&quot;* &quot;-&quot;??_);_(@_)">
                  <c:v>0.14992821369863013</c:v>
                </c:pt>
                <c:pt idx="3" formatCode="_(&quot;R$&quot;* #,##0.00_);_(&quot;R$&quot;* \(#,##0.00\);_(&quot;R$&quot;* &quot;-&quot;??_);_(@_)">
                  <c:v>0.19946396712328768</c:v>
                </c:pt>
                <c:pt idx="4" formatCode="_(&quot;R$&quot;* #,##0.00_);_(&quot;R$&quot;* \(#,##0.00\);_(&quot;R$&quot;* &quot;-&quot;??_);_(@_)">
                  <c:v>0.24888964109589043</c:v>
                </c:pt>
                <c:pt idx="5" formatCode="_(&quot;R$&quot;* #,##0.00_);_(&quot;R$&quot;* \(#,##0.00\);_(&quot;R$&quot;* &quot;-&quot;??_);_(@_)">
                  <c:v>0.29831531506849318</c:v>
                </c:pt>
                <c:pt idx="6" formatCode="_(&quot;R$&quot;* #,##0.00_);_(&quot;R$&quot;* \(#,##0.00\);_(&quot;R$&quot;* &quot;-&quot;??_);_(@_)">
                  <c:v>0.34719059178082196</c:v>
                </c:pt>
                <c:pt idx="7" formatCode="_(&quot;R$&quot;* #,##0.00_);_(&quot;R$&quot;* \(#,##0.00\);_(&quot;R$&quot;* &quot;-&quot;??_);_(@_)">
                  <c:v>0.39584570958904114</c:v>
                </c:pt>
                <c:pt idx="8" formatCode="_(&quot;R$&quot;* #,##0.00_);_(&quot;R$&quot;* \(#,##0.00\);_(&quot;R$&quot;* &quot;-&quot;??_);_(@_)">
                  <c:v>0.4449411452054795</c:v>
                </c:pt>
                <c:pt idx="9" formatCode="_(&quot;R$&quot;* #,##0.00_);_(&quot;R$&quot;* \(#,##0.00\);_(&quot;R$&quot;* &quot;-&quot;??_);_(@_)">
                  <c:v>0.49359626301369869</c:v>
                </c:pt>
                <c:pt idx="10" formatCode="_(&quot;R$&quot;* #,##0.00_);_(&quot;R$&quot;* \(#,##0.00\);_(&quot;R$&quot;* &quot;-&quot;??_);_(@_)">
                  <c:v>0.54225138082191782</c:v>
                </c:pt>
                <c:pt idx="11" formatCode="_(&quot;R$&quot;* #,##0.00_);_(&quot;R$&quot;* \(#,##0.00\);_(&quot;R$&quot;* &quot;-&quot;??_);_(@_)">
                  <c:v>0.59112665753424665</c:v>
                </c:pt>
                <c:pt idx="12" formatCode="_(&quot;R$&quot;* #,##0.00_);_(&quot;R$&quot;* \(#,##0.00\);_(&quot;R$&quot;* &quot;-&quot;??_);_(@_)">
                  <c:v>0.64033217260273978</c:v>
                </c:pt>
                <c:pt idx="13" formatCode="_(&quot;R$&quot;* #,##0.00_);_(&quot;R$&quot;* \(#,##0.00\);_(&quot;R$&quot;* &quot;-&quot;??_);_(@_)">
                  <c:v>0.68755625753424665</c:v>
                </c:pt>
                <c:pt idx="14" formatCode="_(&quot;R$&quot;* #,##0.00_);_(&quot;R$&quot;* \(#,##0.00\);_(&quot;R$&quot;* &quot;-&quot;??_);_(@_)">
                  <c:v>0.73555089863013712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GRAFICO!$B$2:$AG$3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GRAFICO!$B$7:$AG$7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(GRAFICO!$E$7,GRAFICO!$G$7,GRAFICO!$I$7,GRAFICO!$K$7,GRAFICO!$M$7,GRAFICO!$O$7,GRAFICO!$Q$7,GRAFICO!$S$7,GRAFICO!$U$7,GRAFICO!$W$7,GRAFICO!$Y$7,GRAFICO!$AA$7,GRAFICO!$AC$7,GRAFICO!$AE$7,GRAFICO!$AG$7)</c:f>
              <c:numCache>
                <c:formatCode>m/d/yyyy</c:formatCode>
                <c:ptCount val="15"/>
                <c:pt idx="0" formatCode="_(&quot;R$&quot;* #,##0.00_);_(&quot;R$&quot;* \(#,##0.00\);_(&quot;R$&quot;* &quot;-&quot;??_);_(@_)">
                  <c:v>4.8875276712328775E-2</c:v>
                </c:pt>
                <c:pt idx="1" formatCode="_(&quot;R$&quot;* #,##0.00_);_(&quot;R$&quot;* \(#,##0.00\);_(&quot;R$&quot;* &quot;-&quot;??_);_(@_)">
                  <c:v>9.7530394520547958E-2</c:v>
                </c:pt>
                <c:pt idx="2" formatCode="_(&quot;R$&quot;* #,##0.00_);_(&quot;R$&quot;* \(#,##0.00\);_(&quot;R$&quot;* &quot;-&quot;??_);_(@_)">
                  <c:v>0.14596535342465755</c:v>
                </c:pt>
                <c:pt idx="3" formatCode="_(&quot;R$&quot;* #,##0.00_);_(&quot;R$&quot;* \(#,##0.00\);_(&quot;R$&quot;* &quot;-&quot;??_);_(@_)">
                  <c:v>0.19418015342465755</c:v>
                </c:pt>
                <c:pt idx="4" formatCode="_(&quot;R$&quot;* #,##0.00_);_(&quot;R$&quot;* \(#,##0.00\);_(&quot;R$&quot;* &quot;-&quot;??_);_(@_)">
                  <c:v>0.24228487397260276</c:v>
                </c:pt>
                <c:pt idx="5" formatCode="_(&quot;R$&quot;* #,##0.00_);_(&quot;R$&quot;* \(#,##0.00\);_(&quot;R$&quot;* &quot;-&quot;??_);_(@_)">
                  <c:v>0.29038959452054797</c:v>
                </c:pt>
                <c:pt idx="6" formatCode="_(&quot;R$&quot;* #,##0.00_);_(&quot;R$&quot;* \(#,##0.00\);_(&quot;R$&quot;* &quot;-&quot;??_);_(@_)">
                  <c:v>0.3379439178082192</c:v>
                </c:pt>
                <c:pt idx="7" formatCode="_(&quot;R$&quot;* #,##0.00_);_(&quot;R$&quot;* \(#,##0.00\);_(&quot;R$&quot;* &quot;-&quot;??_);_(@_)">
                  <c:v>0.38527808219178084</c:v>
                </c:pt>
                <c:pt idx="8" formatCode="_(&quot;R$&quot;* #,##0.00_);_(&quot;R$&quot;* \(#,##0.00\);_(&quot;R$&quot;* &quot;-&quot;??_);_(@_)">
                  <c:v>0.43305256438356166</c:v>
                </c:pt>
                <c:pt idx="9" formatCode="_(&quot;R$&quot;* #,##0.00_);_(&quot;R$&quot;* \(#,##0.00\);_(&quot;R$&quot;* &quot;-&quot;??_);_(@_)">
                  <c:v>0.48038672876712329</c:v>
                </c:pt>
                <c:pt idx="10" formatCode="_(&quot;R$&quot;* #,##0.00_);_(&quot;R$&quot;* \(#,##0.00\);_(&quot;R$&quot;* &quot;-&quot;??_);_(@_)">
                  <c:v>0.52772089315068493</c:v>
                </c:pt>
                <c:pt idx="11" formatCode="_(&quot;R$&quot;* #,##0.00_);_(&quot;R$&quot;* \(#,##0.00\);_(&quot;R$&quot;* &quot;-&quot;??_);_(@_)">
                  <c:v>0.57527521643835622</c:v>
                </c:pt>
                <c:pt idx="12" formatCode="_(&quot;R$&quot;* #,##0.00_);_(&quot;R$&quot;* \(#,##0.00\);_(&quot;R$&quot;* &quot;-&quot;??_);_(@_)">
                  <c:v>0.62315977808219181</c:v>
                </c:pt>
                <c:pt idx="13" formatCode="_(&quot;R$&quot;* #,##0.00_);_(&quot;R$&quot;* \(#,##0.00\);_(&quot;R$&quot;* &quot;-&quot;??_);_(@_)">
                  <c:v>0.67170481643835622</c:v>
                </c:pt>
                <c:pt idx="14" formatCode="_(&quot;R$&quot;* #,##0.00_);_(&quot;R$&quot;* \(#,##0.00\);_(&quot;R$&quot;* &quot;-&quot;??_);_(@_)">
                  <c:v>0.71837850410958914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011520"/>
        <c:axId val="1770120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GRAFICO!$B$2:$AG$3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GRAFICO!$B$4:$AG$4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&quot;R$&quot;#,##0.00_);[Red]\(&quot;R$&quot;#,##0.00\)">
                        <c:v>1577.93</c:v>
                      </c:pt>
                      <c:pt idx="1" formatCode="&quot;R$&quot;#,##0.00_);[Red]\(&quot;R$&quot;#,##0.00\)">
                        <c:v>1584</c:v>
                      </c:pt>
                      <c:pt idx="2" formatCode="&quot;R$&quot;#,##0.00_);[Red]\(&quot;R$&quot;#,##0.00\)">
                        <c:v>1589.46</c:v>
                      </c:pt>
                      <c:pt idx="3" formatCode="&quot;R$&quot;#,##0.00_);[Red]\(&quot;R$&quot;#,##0.00\)">
                        <c:v>1594.93</c:v>
                      </c:pt>
                      <c:pt idx="4" formatCode="&quot;R$&quot;#,##0.00_);[Red]\(&quot;R$&quot;#,##0.00\)">
                        <c:v>1597.97</c:v>
                      </c:pt>
                      <c:pt idx="5" formatCode="&quot;R$&quot;#,##0.00_);[Red]\(&quot;R$&quot;#,##0.00\)">
                        <c:v>1598.57</c:v>
                      </c:pt>
                      <c:pt idx="6" formatCode="&quot;R$&quot;#,##0.00_);[Red]\(&quot;R$&quot;#,##0.00\)">
                        <c:v>1611.49</c:v>
                      </c:pt>
                      <c:pt idx="7" formatCode="&quot;R$&quot;#,##0.00_);[Red]\(&quot;R$&quot;#,##0.00\)">
                        <c:v>1617.01</c:v>
                      </c:pt>
                      <c:pt idx="8" formatCode="&quot;R$&quot;#,##0.00_);[Red]\(&quot;R$&quot;#,##0.00\)">
                        <c:v>1607.74</c:v>
                      </c:pt>
                      <c:pt idx="9" formatCode="&quot;R$&quot;#,##0.00_);[Red]\(&quot;R$&quot;#,##0.00\)">
                        <c:v>1618.02</c:v>
                      </c:pt>
                      <c:pt idx="10" formatCode="&quot;R$&quot;#,##0.00_);[Red]\(&quot;R$&quot;#,##0.00\)">
                        <c:v>1618.45</c:v>
                      </c:pt>
                      <c:pt idx="11" formatCode="&quot;R$&quot;#,##0.00_);[Red]\(&quot;R$&quot;#,##0.00\)">
                        <c:v>1614.25</c:v>
                      </c:pt>
                      <c:pt idx="12" formatCode="&quot;R$&quot;#,##0.00_);[Red]\(&quot;R$&quot;#,##0.00\)">
                        <c:v>1607.3</c:v>
                      </c:pt>
                      <c:pt idx="13" formatCode="&quot;R$&quot;#,##0.00_);[Red]\(&quot;R$&quot;#,##0.00\)">
                        <c:v>1652.51</c:v>
                      </c:pt>
                      <c:pt idx="14" formatCode="&quot;R$&quot;#,##0.00_);[Red]\(&quot;R$&quot;#,##0.00\)">
                        <c:v>1635.37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GRAFICO!$B$2:$AG$3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GRAFICO!$B$5:$AG$5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(GRAFICO!$E$5,GRAFICO!$G$5,GRAFICO!$I$5,GRAFICO!$K$5,GRAFICO!$M$5,GRAFICO!$O$5,GRAFICO!$Q$5,GRAFICO!$S$5,GRAFICO!$U$5,GRAFICO!$W$5,GRAFICO!$Y$5,GRAFICO!$AA$5,GRAFICO!$AC$5,GRAFICO!$AE$5,GRAFICO!$AG$5)</c15:sqref>
                        </c15:formulaRef>
                      </c:ext>
                    </c:extLst>
                    <c:numCache>
                      <c:formatCode>m/d/yyyy</c:formatCode>
                      <c:ptCount val="15"/>
                      <c:pt idx="0" formatCode="&quot;R$&quot;#,##0.00_);[Red]\(&quot;R$&quot;#,##0.00\)">
                        <c:v>1607.16</c:v>
                      </c:pt>
                      <c:pt idx="1" formatCode="&quot;R$&quot;#,##0.00_);[Red]\(&quot;R$&quot;#,##0.00\)">
                        <c:v>1613.35</c:v>
                      </c:pt>
                      <c:pt idx="2" formatCode="&quot;R$&quot;#,##0.00_);[Red]\(&quot;R$&quot;#,##0.00\)">
                        <c:v>1618.9</c:v>
                      </c:pt>
                      <c:pt idx="3" formatCode="&quot;R$&quot;#,##0.00_);[Red]\(&quot;R$&quot;#,##0.00\)">
                        <c:v>1624.47</c:v>
                      </c:pt>
                      <c:pt idx="4" formatCode="&quot;R$&quot;#,##0.00_);[Red]\(&quot;R$&quot;#,##0.00\)">
                        <c:v>1627.56</c:v>
                      </c:pt>
                      <c:pt idx="5" formatCode="&quot;R$&quot;#,##0.00_);[Red]\(&quot;R$&quot;#,##0.00\)">
                        <c:v>1628.17</c:v>
                      </c:pt>
                      <c:pt idx="6" formatCode="&quot;R$&quot;#,##0.00_);[Red]\(&quot;R$&quot;#,##0.00\)">
                        <c:v>1641.34</c:v>
                      </c:pt>
                      <c:pt idx="7" formatCode="&quot;R$&quot;#,##0.00_);[Red]\(&quot;R$&quot;#,##0.00\)">
                        <c:v>1646.95</c:v>
                      </c:pt>
                      <c:pt idx="8" formatCode="&quot;R$&quot;#,##0.00_);[Red]\(&quot;R$&quot;#,##0.00\)">
                        <c:v>1637.49</c:v>
                      </c:pt>
                      <c:pt idx="9" formatCode="&quot;R$&quot;#,##0.00_);[Red]\(&quot;R$&quot;#,##0.00\)">
                        <c:v>1647.97</c:v>
                      </c:pt>
                      <c:pt idx="10" formatCode="&quot;R$&quot;#,##0.00_);[Red]\(&quot;R$&quot;#,##0.00\)">
                        <c:v>1648.4</c:v>
                      </c:pt>
                      <c:pt idx="11" formatCode="&quot;R$&quot;#,##0.00_);[Red]\(&quot;R$&quot;#,##0.00\)">
                        <c:v>1644.1</c:v>
                      </c:pt>
                      <c:pt idx="12" formatCode="&quot;R$&quot;#,##0.00_);[Red]\(&quot;R$&quot;#,##0.00\)">
                        <c:v>1637.01</c:v>
                      </c:pt>
                      <c:pt idx="13" formatCode="&quot;R$&quot;#,##0.00_);[Red]\(&quot;R$&quot;#,##0.00\)">
                        <c:v>1622.51</c:v>
                      </c:pt>
                      <c:pt idx="14" formatCode="&quot;R$&quot;#,##0.00_);[Red]\(&quot;R$&quot;#,##0.00\)">
                        <c:v>1665.62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01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12064"/>
        <c:crosses val="autoZero"/>
        <c:auto val="1"/>
        <c:lblAlgn val="ctr"/>
        <c:lblOffset val="100"/>
        <c:noMultiLvlLbl val="0"/>
      </c:catAx>
      <c:valAx>
        <c:axId val="17701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11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GRAFICO!$B$2:$AC$3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GRAFICO!$B$6:$AC$6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(GRAFICO!$E$6,GRAFICO!$G$6,GRAFICO!$I$6,GRAFICO!$K$6,GRAFICO!$M$6,GRAFICO!$O$6,GRAFICO!$Q$6,GRAFICO!$S$6,GRAFICO!$U$6,GRAFICO!$W$6,GRAFICO!$Y$6,GRAFICO!$AA$6,GRAFICO!$AC$6)</c:f>
              <c:numCache>
                <c:formatCode>m/d/yyyy</c:formatCode>
                <c:ptCount val="13"/>
                <c:pt idx="0" formatCode="_(&quot;R$&quot;* #,##0.00_);_(&quot;R$&quot;* \(#,##0.00\);_(&quot;R$&quot;* &quot;-&quot;??_);_(@_)">
                  <c:v>5.0196230136986299E-2</c:v>
                </c:pt>
                <c:pt idx="1" formatCode="_(&quot;R$&quot;* #,##0.00_);_(&quot;R$&quot;* \(#,##0.00\);_(&quot;R$&quot;* &quot;-&quot;??_);_(@_)">
                  <c:v>0.10017230136986301</c:v>
                </c:pt>
                <c:pt idx="2" formatCode="_(&quot;R$&quot;* #,##0.00_);_(&quot;R$&quot;* \(#,##0.00\);_(&quot;R$&quot;* &quot;-&quot;??_);_(@_)">
                  <c:v>0.14992821369863013</c:v>
                </c:pt>
                <c:pt idx="3" formatCode="_(&quot;R$&quot;* #,##0.00_);_(&quot;R$&quot;* \(#,##0.00\);_(&quot;R$&quot;* &quot;-&quot;??_);_(@_)">
                  <c:v>0.19946396712328768</c:v>
                </c:pt>
                <c:pt idx="4" formatCode="_(&quot;R$&quot;* #,##0.00_);_(&quot;R$&quot;* \(#,##0.00\);_(&quot;R$&quot;* &quot;-&quot;??_);_(@_)">
                  <c:v>0.24888964109589043</c:v>
                </c:pt>
                <c:pt idx="5" formatCode="_(&quot;R$&quot;* #,##0.00_);_(&quot;R$&quot;* \(#,##0.00\);_(&quot;R$&quot;* &quot;-&quot;??_);_(@_)">
                  <c:v>0.29831531506849318</c:v>
                </c:pt>
                <c:pt idx="6" formatCode="_(&quot;R$&quot;* #,##0.00_);_(&quot;R$&quot;* \(#,##0.00\);_(&quot;R$&quot;* &quot;-&quot;??_);_(@_)">
                  <c:v>0.34719059178082196</c:v>
                </c:pt>
                <c:pt idx="7" formatCode="_(&quot;R$&quot;* #,##0.00_);_(&quot;R$&quot;* \(#,##0.00\);_(&quot;R$&quot;* &quot;-&quot;??_);_(@_)">
                  <c:v>0.39584570958904114</c:v>
                </c:pt>
                <c:pt idx="8" formatCode="_(&quot;R$&quot;* #,##0.00_);_(&quot;R$&quot;* \(#,##0.00\);_(&quot;R$&quot;* &quot;-&quot;??_);_(@_)">
                  <c:v>0.4449411452054795</c:v>
                </c:pt>
                <c:pt idx="9" formatCode="_(&quot;R$&quot;* #,##0.00_);_(&quot;R$&quot;* \(#,##0.00\);_(&quot;R$&quot;* &quot;-&quot;??_);_(@_)">
                  <c:v>0.49359626301369869</c:v>
                </c:pt>
                <c:pt idx="10" formatCode="_(&quot;R$&quot;* #,##0.00_);_(&quot;R$&quot;* \(#,##0.00\);_(&quot;R$&quot;* &quot;-&quot;??_);_(@_)">
                  <c:v>0.54225138082191782</c:v>
                </c:pt>
                <c:pt idx="11" formatCode="_(&quot;R$&quot;* #,##0.00_);_(&quot;R$&quot;* \(#,##0.00\);_(&quot;R$&quot;* &quot;-&quot;??_);_(@_)">
                  <c:v>0.59112665753424665</c:v>
                </c:pt>
                <c:pt idx="12" formatCode="_(&quot;R$&quot;* #,##0.00_);_(&quot;R$&quot;* \(#,##0.00\);_(&quot;R$&quot;* &quot;-&quot;??_);_(@_)">
                  <c:v>0.64033217260273978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GRAFICO!$B$2:$AC$3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GRAFICO!$B$7:$AC$7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(GRAFICO!$E$7,GRAFICO!$G$7,GRAFICO!$I$7,GRAFICO!$K$7,GRAFICO!$M$7,GRAFICO!$O$7,GRAFICO!$Q$7,GRAFICO!$S$7,GRAFICO!$U$7,GRAFICO!$W$7,GRAFICO!$Y$7,GRAFICO!$AA$7,GRAFICO!$AC$7)</c:f>
              <c:numCache>
                <c:formatCode>m/d/yyyy</c:formatCode>
                <c:ptCount val="13"/>
                <c:pt idx="0" formatCode="_(&quot;R$&quot;* #,##0.00_);_(&quot;R$&quot;* \(#,##0.00\);_(&quot;R$&quot;* &quot;-&quot;??_);_(@_)">
                  <c:v>4.8875276712328775E-2</c:v>
                </c:pt>
                <c:pt idx="1" formatCode="_(&quot;R$&quot;* #,##0.00_);_(&quot;R$&quot;* \(#,##0.00\);_(&quot;R$&quot;* &quot;-&quot;??_);_(@_)">
                  <c:v>9.7530394520547958E-2</c:v>
                </c:pt>
                <c:pt idx="2" formatCode="_(&quot;R$&quot;* #,##0.00_);_(&quot;R$&quot;* \(#,##0.00\);_(&quot;R$&quot;* &quot;-&quot;??_);_(@_)">
                  <c:v>0.14596535342465755</c:v>
                </c:pt>
                <c:pt idx="3" formatCode="_(&quot;R$&quot;* #,##0.00_);_(&quot;R$&quot;* \(#,##0.00\);_(&quot;R$&quot;* &quot;-&quot;??_);_(@_)">
                  <c:v>0.19418015342465755</c:v>
                </c:pt>
                <c:pt idx="4" formatCode="_(&quot;R$&quot;* #,##0.00_);_(&quot;R$&quot;* \(#,##0.00\);_(&quot;R$&quot;* &quot;-&quot;??_);_(@_)">
                  <c:v>0.24228487397260276</c:v>
                </c:pt>
                <c:pt idx="5" formatCode="_(&quot;R$&quot;* #,##0.00_);_(&quot;R$&quot;* \(#,##0.00\);_(&quot;R$&quot;* &quot;-&quot;??_);_(@_)">
                  <c:v>0.29038959452054797</c:v>
                </c:pt>
                <c:pt idx="6" formatCode="_(&quot;R$&quot;* #,##0.00_);_(&quot;R$&quot;* \(#,##0.00\);_(&quot;R$&quot;* &quot;-&quot;??_);_(@_)">
                  <c:v>0.3379439178082192</c:v>
                </c:pt>
                <c:pt idx="7" formatCode="_(&quot;R$&quot;* #,##0.00_);_(&quot;R$&quot;* \(#,##0.00\);_(&quot;R$&quot;* &quot;-&quot;??_);_(@_)">
                  <c:v>0.38527808219178084</c:v>
                </c:pt>
                <c:pt idx="8" formatCode="_(&quot;R$&quot;* #,##0.00_);_(&quot;R$&quot;* \(#,##0.00\);_(&quot;R$&quot;* &quot;-&quot;??_);_(@_)">
                  <c:v>0.43305256438356166</c:v>
                </c:pt>
                <c:pt idx="9" formatCode="_(&quot;R$&quot;* #,##0.00_);_(&quot;R$&quot;* \(#,##0.00\);_(&quot;R$&quot;* &quot;-&quot;??_);_(@_)">
                  <c:v>0.48038672876712329</c:v>
                </c:pt>
                <c:pt idx="10" formatCode="_(&quot;R$&quot;* #,##0.00_);_(&quot;R$&quot;* \(#,##0.00\);_(&quot;R$&quot;* &quot;-&quot;??_);_(@_)">
                  <c:v>0.52772089315068493</c:v>
                </c:pt>
                <c:pt idx="11" formatCode="_(&quot;R$&quot;* #,##0.00_);_(&quot;R$&quot;* \(#,##0.00\);_(&quot;R$&quot;* &quot;-&quot;??_);_(@_)">
                  <c:v>0.57527521643835622</c:v>
                </c:pt>
                <c:pt idx="12" formatCode="_(&quot;R$&quot;* #,##0.00_);_(&quot;R$&quot;* \(#,##0.00\);_(&quot;R$&quot;* &quot;-&quot;??_);_(@_)">
                  <c:v>0.62315977808219181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014784"/>
        <c:axId val="1770153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GRAFICO!$B$2:$AC$3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GRAFICO!$B$4:$AC$4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(GRAFICO!$E$4,GRAFICO!$G$4,GRAFICO!$I$4,GRAFICO!$K$4,GRAFICO!$M$4,GRAFICO!$O$4,GRAFICO!$Q$4,GRAFICO!$S$4,GRAFICO!$U$4,GRAFICO!$W$4,GRAFICO!$Y$4,GRAFICO!$AA$4,GRAFICO!$AC$4)</c15:sqref>
                        </c15:formulaRef>
                      </c:ext>
                    </c:extLst>
                    <c:numCache>
                      <c:formatCode>m/d/yyyy</c:formatCode>
                      <c:ptCount val="13"/>
                      <c:pt idx="0" formatCode="&quot;R$&quot;#,##0.00_);[Red]\(&quot;R$&quot;#,##0.00\)">
                        <c:v>1577.93</c:v>
                      </c:pt>
                      <c:pt idx="1" formatCode="&quot;R$&quot;#,##0.00_);[Red]\(&quot;R$&quot;#,##0.00\)">
                        <c:v>1584</c:v>
                      </c:pt>
                      <c:pt idx="2" formatCode="&quot;R$&quot;#,##0.00_);[Red]\(&quot;R$&quot;#,##0.00\)">
                        <c:v>1589.46</c:v>
                      </c:pt>
                      <c:pt idx="3" formatCode="&quot;R$&quot;#,##0.00_);[Red]\(&quot;R$&quot;#,##0.00\)">
                        <c:v>1594.93</c:v>
                      </c:pt>
                      <c:pt idx="4" formatCode="&quot;R$&quot;#,##0.00_);[Red]\(&quot;R$&quot;#,##0.00\)">
                        <c:v>1597.97</c:v>
                      </c:pt>
                      <c:pt idx="5" formatCode="&quot;R$&quot;#,##0.00_);[Red]\(&quot;R$&quot;#,##0.00\)">
                        <c:v>1598.57</c:v>
                      </c:pt>
                      <c:pt idx="6" formatCode="&quot;R$&quot;#,##0.00_);[Red]\(&quot;R$&quot;#,##0.00\)">
                        <c:v>1611.49</c:v>
                      </c:pt>
                      <c:pt idx="7" formatCode="&quot;R$&quot;#,##0.00_);[Red]\(&quot;R$&quot;#,##0.00\)">
                        <c:v>1617.01</c:v>
                      </c:pt>
                      <c:pt idx="8" formatCode="&quot;R$&quot;#,##0.00_);[Red]\(&quot;R$&quot;#,##0.00\)">
                        <c:v>1607.74</c:v>
                      </c:pt>
                      <c:pt idx="9" formatCode="&quot;R$&quot;#,##0.00_);[Red]\(&quot;R$&quot;#,##0.00\)">
                        <c:v>1618.02</c:v>
                      </c:pt>
                      <c:pt idx="10" formatCode="&quot;R$&quot;#,##0.00_);[Red]\(&quot;R$&quot;#,##0.00\)">
                        <c:v>1618.45</c:v>
                      </c:pt>
                      <c:pt idx="11" formatCode="&quot;R$&quot;#,##0.00_);[Red]\(&quot;R$&quot;#,##0.00\)">
                        <c:v>1614.25</c:v>
                      </c:pt>
                      <c:pt idx="12" formatCode="&quot;R$&quot;#,##0.00_);[Red]\(&quot;R$&quot;#,##0.00\)">
                        <c:v>1607.3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GRAFICO!$B$2:$AC$3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GRAFICO!$B$5:$AC$5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(GRAFICO!$E$5,GRAFICO!$G$5,GRAFICO!$I$5,GRAFICO!$K$5,GRAFICO!$M$5,GRAFICO!$O$5,GRAFICO!$Q$5,GRAFICO!$S$5,GRAFICO!$U$5,GRAFICO!$W$5,GRAFICO!$Y$5,GRAFICO!$AA$5,GRAFICO!$AC$5)</c15:sqref>
                        </c15:formulaRef>
                      </c:ext>
                    </c:extLst>
                    <c:numCache>
                      <c:formatCode>m/d/yyyy</c:formatCode>
                      <c:ptCount val="13"/>
                      <c:pt idx="0" formatCode="&quot;R$&quot;#,##0.00_);[Red]\(&quot;R$&quot;#,##0.00\)">
                        <c:v>1607.16</c:v>
                      </c:pt>
                      <c:pt idx="1" formatCode="&quot;R$&quot;#,##0.00_);[Red]\(&quot;R$&quot;#,##0.00\)">
                        <c:v>1613.35</c:v>
                      </c:pt>
                      <c:pt idx="2" formatCode="&quot;R$&quot;#,##0.00_);[Red]\(&quot;R$&quot;#,##0.00\)">
                        <c:v>1618.9</c:v>
                      </c:pt>
                      <c:pt idx="3" formatCode="&quot;R$&quot;#,##0.00_);[Red]\(&quot;R$&quot;#,##0.00\)">
                        <c:v>1624.47</c:v>
                      </c:pt>
                      <c:pt idx="4" formatCode="&quot;R$&quot;#,##0.00_);[Red]\(&quot;R$&quot;#,##0.00\)">
                        <c:v>1627.56</c:v>
                      </c:pt>
                      <c:pt idx="5" formatCode="&quot;R$&quot;#,##0.00_);[Red]\(&quot;R$&quot;#,##0.00\)">
                        <c:v>1628.17</c:v>
                      </c:pt>
                      <c:pt idx="6" formatCode="&quot;R$&quot;#,##0.00_);[Red]\(&quot;R$&quot;#,##0.00\)">
                        <c:v>1641.34</c:v>
                      </c:pt>
                      <c:pt idx="7" formatCode="&quot;R$&quot;#,##0.00_);[Red]\(&quot;R$&quot;#,##0.00\)">
                        <c:v>1646.95</c:v>
                      </c:pt>
                      <c:pt idx="8" formatCode="&quot;R$&quot;#,##0.00_);[Red]\(&quot;R$&quot;#,##0.00\)">
                        <c:v>1637.49</c:v>
                      </c:pt>
                      <c:pt idx="9" formatCode="&quot;R$&quot;#,##0.00_);[Red]\(&quot;R$&quot;#,##0.00\)">
                        <c:v>1647.97</c:v>
                      </c:pt>
                      <c:pt idx="10" formatCode="&quot;R$&quot;#,##0.00_);[Red]\(&quot;R$&quot;#,##0.00\)">
                        <c:v>1648.4</c:v>
                      </c:pt>
                      <c:pt idx="11" formatCode="&quot;R$&quot;#,##0.00_);[Red]\(&quot;R$&quot;#,##0.00\)">
                        <c:v>1644.1</c:v>
                      </c:pt>
                      <c:pt idx="12" formatCode="&quot;R$&quot;#,##0.00_);[Red]\(&quot;R$&quot;#,##0.00\)">
                        <c:v>1637.01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7014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15328"/>
        <c:crosses val="autoZero"/>
        <c:auto val="1"/>
        <c:lblAlgn val="ctr"/>
        <c:lblOffset val="100"/>
        <c:noMultiLvlLbl val="0"/>
      </c:catAx>
      <c:valAx>
        <c:axId val="17701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1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8</xdr:col>
      <xdr:colOff>962024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8</xdr:col>
      <xdr:colOff>952500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1924049</xdr:colOff>
      <xdr:row>8</xdr:row>
      <xdr:rowOff>4762</xdr:rowOff>
    </xdr:from>
    <xdr:to>
      <xdr:col>19</xdr:col>
      <xdr:colOff>0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F2" sqref="F2"/>
    </sheetView>
  </sheetViews>
  <sheetFormatPr defaultRowHeight="15" x14ac:dyDescent="0.25"/>
  <cols>
    <col min="1" max="1" width="18.42578125" bestFit="1" customWidth="1"/>
    <col min="2" max="2" width="17.42578125" bestFit="1" customWidth="1"/>
    <col min="3" max="3" width="19" bestFit="1" customWidth="1"/>
    <col min="4" max="4" width="9.5703125" bestFit="1" customWidth="1"/>
    <col min="5" max="5" width="26.42578125" style="9" bestFit="1" customWidth="1"/>
    <col min="6" max="6" width="26.42578125" customWidth="1"/>
    <col min="7" max="7" width="26.42578125" style="12" customWidth="1"/>
    <col min="8" max="8" width="27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1607.3</v>
      </c>
    </row>
    <row r="10" spans="1:8" x14ac:dyDescent="0.25">
      <c r="D10" s="45"/>
    </row>
    <row r="11" spans="1:8" x14ac:dyDescent="0.25">
      <c r="D11" s="12"/>
      <c r="E11" s="44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P11"/>
  <sheetViews>
    <sheetView tabSelected="1" workbookViewId="0">
      <selection activeCell="E5" sqref="E5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8" bestFit="1" customWidth="1"/>
    <col min="33" max="33" width="14.42578125" style="48" bestFit="1" customWidth="1"/>
    <col min="34" max="120" width="9.140625" style="48"/>
  </cols>
  <sheetData>
    <row r="2" spans="1:120" s="19" customFormat="1" ht="15.75" customHeight="1" x14ac:dyDescent="0.25">
      <c r="B2" s="20" t="s">
        <v>9</v>
      </c>
      <c r="C2" s="21" t="s">
        <v>10</v>
      </c>
      <c r="D2" s="21" t="s">
        <v>11</v>
      </c>
      <c r="E2" s="21" t="s">
        <v>12</v>
      </c>
      <c r="F2" s="21" t="s">
        <v>11</v>
      </c>
      <c r="G2" s="21" t="s">
        <v>12</v>
      </c>
      <c r="H2" s="21" t="s">
        <v>11</v>
      </c>
      <c r="I2" s="21" t="s">
        <v>12</v>
      </c>
      <c r="J2" s="21" t="s">
        <v>11</v>
      </c>
      <c r="K2" s="21" t="s">
        <v>12</v>
      </c>
      <c r="L2" s="22" t="s">
        <v>11</v>
      </c>
      <c r="M2" s="22" t="s">
        <v>12</v>
      </c>
      <c r="N2" s="22" t="s">
        <v>11</v>
      </c>
      <c r="O2" s="22" t="s">
        <v>12</v>
      </c>
      <c r="P2" s="22" t="s">
        <v>11</v>
      </c>
      <c r="Q2" s="22" t="s">
        <v>12</v>
      </c>
      <c r="R2" s="22" t="s">
        <v>11</v>
      </c>
      <c r="S2" s="22" t="s">
        <v>12</v>
      </c>
      <c r="T2" s="22" t="s">
        <v>11</v>
      </c>
      <c r="U2" s="22" t="s">
        <v>12</v>
      </c>
      <c r="V2" s="22" t="s">
        <v>11</v>
      </c>
      <c r="W2" s="22" t="s">
        <v>12</v>
      </c>
      <c r="X2" s="22" t="s">
        <v>11</v>
      </c>
      <c r="Y2" s="22" t="s">
        <v>12</v>
      </c>
      <c r="Z2" s="22" t="s">
        <v>11</v>
      </c>
      <c r="AA2" s="22" t="s">
        <v>12</v>
      </c>
      <c r="AB2" s="22" t="s">
        <v>11</v>
      </c>
      <c r="AC2" s="22" t="s">
        <v>12</v>
      </c>
      <c r="AD2" s="22" t="s">
        <v>11</v>
      </c>
      <c r="AE2" s="53" t="s">
        <v>12</v>
      </c>
      <c r="AF2" s="22" t="s">
        <v>11</v>
      </c>
      <c r="AG2" s="53" t="s">
        <v>12</v>
      </c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</row>
    <row r="3" spans="1:120" s="19" customFormat="1" ht="15.75" customHeight="1" x14ac:dyDescent="0.25">
      <c r="B3" s="33" t="s">
        <v>13</v>
      </c>
      <c r="C3" s="34"/>
      <c r="D3" s="23">
        <v>43587</v>
      </c>
      <c r="E3" s="24">
        <v>43587</v>
      </c>
      <c r="F3" s="25">
        <v>43588</v>
      </c>
      <c r="G3" s="24">
        <v>43588</v>
      </c>
      <c r="H3" s="25">
        <v>43591</v>
      </c>
      <c r="I3" s="23">
        <v>43591</v>
      </c>
      <c r="J3" s="26">
        <v>43592</v>
      </c>
      <c r="K3" s="27">
        <v>43592</v>
      </c>
      <c r="L3" s="28">
        <v>43593</v>
      </c>
      <c r="M3" s="29">
        <v>43593</v>
      </c>
      <c r="N3" s="28">
        <v>43594</v>
      </c>
      <c r="O3" s="29">
        <v>43594</v>
      </c>
      <c r="P3" s="28">
        <v>43595</v>
      </c>
      <c r="Q3" s="29">
        <v>43595</v>
      </c>
      <c r="R3" s="28">
        <v>43598</v>
      </c>
      <c r="S3" s="29">
        <v>43598</v>
      </c>
      <c r="T3" s="28">
        <v>43599</v>
      </c>
      <c r="U3" s="29">
        <v>43599</v>
      </c>
      <c r="V3" s="28">
        <v>43600</v>
      </c>
      <c r="W3" s="29">
        <v>43600</v>
      </c>
      <c r="X3" s="28">
        <v>43601</v>
      </c>
      <c r="Y3" s="29">
        <v>43601</v>
      </c>
      <c r="Z3" s="28">
        <v>43602</v>
      </c>
      <c r="AA3" s="29">
        <v>43602</v>
      </c>
      <c r="AB3" s="28">
        <v>43605</v>
      </c>
      <c r="AC3" s="30">
        <v>43605</v>
      </c>
      <c r="AD3" s="28">
        <v>43606</v>
      </c>
      <c r="AE3" s="29">
        <v>43606</v>
      </c>
      <c r="AF3" s="28">
        <v>43607</v>
      </c>
      <c r="AG3" s="29">
        <v>43607</v>
      </c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  <c r="BR3" s="47"/>
      <c r="BS3" s="47"/>
      <c r="BT3" s="47"/>
      <c r="BU3" s="47"/>
      <c r="BV3" s="47"/>
      <c r="BW3" s="47"/>
      <c r="BX3" s="47"/>
      <c r="BY3" s="47"/>
      <c r="BZ3" s="47"/>
      <c r="CA3" s="47"/>
      <c r="CB3" s="47"/>
      <c r="CC3" s="47"/>
      <c r="CD3" s="47"/>
      <c r="CE3" s="47"/>
      <c r="CF3" s="47"/>
      <c r="CG3" s="47"/>
      <c r="CH3" s="47"/>
      <c r="CI3" s="47"/>
      <c r="CJ3" s="47"/>
      <c r="CK3" s="47"/>
      <c r="CL3" s="47"/>
      <c r="CM3" s="47"/>
      <c r="CN3" s="47"/>
      <c r="CO3" s="47"/>
      <c r="CP3" s="47"/>
      <c r="CQ3" s="47"/>
      <c r="CR3" s="47"/>
      <c r="CS3" s="47"/>
      <c r="CT3" s="47"/>
      <c r="CU3" s="47"/>
      <c r="CV3" s="47"/>
      <c r="CW3" s="47"/>
      <c r="CX3" s="47"/>
      <c r="CY3" s="47"/>
      <c r="CZ3" s="47"/>
      <c r="DA3" s="47"/>
      <c r="DB3" s="47"/>
      <c r="DC3" s="47"/>
      <c r="DD3" s="47"/>
      <c r="DE3" s="47"/>
      <c r="DF3" s="47"/>
      <c r="DG3" s="47"/>
      <c r="DH3" s="47"/>
      <c r="DI3" s="47"/>
      <c r="DJ3" s="47"/>
      <c r="DK3" s="47"/>
      <c r="DL3" s="47"/>
      <c r="DM3" s="47"/>
      <c r="DN3" s="47"/>
      <c r="DO3" s="47"/>
      <c r="DP3" s="47"/>
    </row>
    <row r="4" spans="1:120" s="42" customFormat="1" ht="16.5" customHeight="1" x14ac:dyDescent="0.25">
      <c r="A4" s="43" t="s">
        <v>14</v>
      </c>
      <c r="B4" s="35" t="s">
        <v>8</v>
      </c>
      <c r="C4" s="36">
        <v>49444</v>
      </c>
      <c r="D4" s="37">
        <v>4.5599999999999996</v>
      </c>
      <c r="E4" s="38">
        <v>1577.93</v>
      </c>
      <c r="F4" s="37">
        <v>4.54</v>
      </c>
      <c r="G4" s="38">
        <v>1584</v>
      </c>
      <c r="H4" s="37">
        <v>4.5199999999999996</v>
      </c>
      <c r="I4" s="38">
        <v>1589.46</v>
      </c>
      <c r="J4" s="39">
        <v>4.5</v>
      </c>
      <c r="K4" s="40">
        <v>1594.93</v>
      </c>
      <c r="L4" s="39">
        <v>4.49</v>
      </c>
      <c r="M4" s="40">
        <v>1597.97</v>
      </c>
      <c r="N4" s="39">
        <v>4.49</v>
      </c>
      <c r="O4" s="40">
        <v>1598.57</v>
      </c>
      <c r="P4" s="39">
        <v>4.4400000000000004</v>
      </c>
      <c r="Q4" s="40">
        <v>1611.49</v>
      </c>
      <c r="R4" s="39">
        <v>4.42</v>
      </c>
      <c r="S4" s="40">
        <v>1617.01</v>
      </c>
      <c r="T4" s="39">
        <v>4.46</v>
      </c>
      <c r="U4" s="40">
        <v>1607.74</v>
      </c>
      <c r="V4" s="39">
        <v>4.42</v>
      </c>
      <c r="W4" s="40">
        <v>1618.02</v>
      </c>
      <c r="X4" s="39">
        <v>4.42</v>
      </c>
      <c r="Y4" s="40">
        <v>1618.45</v>
      </c>
      <c r="Z4" s="39">
        <v>4.4400000000000004</v>
      </c>
      <c r="AA4" s="41">
        <v>1614.25</v>
      </c>
      <c r="AB4" s="39">
        <v>4.47</v>
      </c>
      <c r="AC4" s="40">
        <v>1607.3</v>
      </c>
      <c r="AD4" s="39">
        <v>4.29</v>
      </c>
      <c r="AE4" s="40">
        <v>1652.51</v>
      </c>
      <c r="AF4" s="39">
        <v>4.3600000000000003</v>
      </c>
      <c r="AG4" s="40">
        <v>1635.37</v>
      </c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  <c r="DP4" s="47"/>
    </row>
    <row r="5" spans="1:120" s="47" customFormat="1" ht="15.75" customHeight="1" x14ac:dyDescent="0.25">
      <c r="A5" s="32" t="s">
        <v>15</v>
      </c>
      <c r="B5" s="31" t="s">
        <v>8</v>
      </c>
      <c r="C5" s="13">
        <v>49444</v>
      </c>
      <c r="D5" s="14">
        <v>4.4400000000000004</v>
      </c>
      <c r="E5" s="15">
        <v>1607.16</v>
      </c>
      <c r="F5" s="16">
        <v>4.42</v>
      </c>
      <c r="G5" s="15">
        <v>1613.35</v>
      </c>
      <c r="H5" s="14">
        <v>4.4000000000000004</v>
      </c>
      <c r="I5" s="15">
        <v>1618.9</v>
      </c>
      <c r="J5" s="17">
        <v>4.38</v>
      </c>
      <c r="K5" s="18">
        <v>1624.47</v>
      </c>
      <c r="L5" s="17">
        <v>4.37</v>
      </c>
      <c r="M5" s="18">
        <v>1627.56</v>
      </c>
      <c r="N5" s="17">
        <v>4.37</v>
      </c>
      <c r="O5" s="18">
        <v>1628.17</v>
      </c>
      <c r="P5" s="17">
        <v>4.32</v>
      </c>
      <c r="Q5" s="18">
        <v>1641.34</v>
      </c>
      <c r="R5" s="17">
        <v>4.3</v>
      </c>
      <c r="S5" s="18">
        <v>1646.95</v>
      </c>
      <c r="T5" s="17">
        <v>4.34</v>
      </c>
      <c r="U5" s="18">
        <v>1637.49</v>
      </c>
      <c r="V5" s="17">
        <v>4.3</v>
      </c>
      <c r="W5" s="18">
        <v>1647.97</v>
      </c>
      <c r="X5" s="17">
        <v>4.3</v>
      </c>
      <c r="Y5" s="18">
        <v>1648.4</v>
      </c>
      <c r="Z5" s="17">
        <v>4.32</v>
      </c>
      <c r="AA5" s="18">
        <v>1644.1</v>
      </c>
      <c r="AB5" s="17">
        <v>4.3499999999999996</v>
      </c>
      <c r="AC5" s="18">
        <v>1637.01</v>
      </c>
      <c r="AD5" s="51">
        <v>4.41</v>
      </c>
      <c r="AE5" s="52">
        <v>1622.51</v>
      </c>
      <c r="AF5" s="51">
        <v>4.24</v>
      </c>
      <c r="AG5" s="52">
        <v>1665.62</v>
      </c>
    </row>
    <row r="6" spans="1:120" s="48" customFormat="1" x14ac:dyDescent="0.25">
      <c r="A6" s="46" t="s">
        <v>16</v>
      </c>
      <c r="B6" s="49">
        <f>B7+AG6</f>
        <v>402.52555089863017</v>
      </c>
      <c r="C6" s="50">
        <v>43587</v>
      </c>
      <c r="D6" s="56">
        <f>$B$6/E4</f>
        <v>0.25509721654232453</v>
      </c>
      <c r="E6" s="54">
        <f>(((D4/365)*$B$7)/100)</f>
        <v>5.0196230136986299E-2</v>
      </c>
      <c r="F6" s="56">
        <f>$B$6/G4</f>
        <v>0.25411966597135743</v>
      </c>
      <c r="G6" s="54">
        <f>(((F4/365)*$B$7)/100)+E6</f>
        <v>0.10017230136986301</v>
      </c>
      <c r="H6" s="56">
        <f t="shared" ref="H6:AG6" si="0">$B$6/I4</f>
        <v>0.25324673215974619</v>
      </c>
      <c r="I6" s="54">
        <f t="shared" ref="I6:I7" si="1">(((H4/365)*$B$7)/100)+G6</f>
        <v>0.14992821369863013</v>
      </c>
      <c r="J6" s="56">
        <f t="shared" ref="J6:AG6" si="2">$B$6/K4</f>
        <v>0.252378192709793</v>
      </c>
      <c r="K6" s="54">
        <f t="shared" ref="K6:K7" si="3">(((J4/365)*$B$7)/100)+I6</f>
        <v>0.19946396712328768</v>
      </c>
      <c r="L6" s="56">
        <f t="shared" ref="L6:AG6" si="4">$B$6/M4</f>
        <v>0.25189806498158923</v>
      </c>
      <c r="M6" s="54">
        <f t="shared" ref="M6:M7" si="5">(((L4/365)*$B$7)/100)+K6</f>
        <v>0.24888964109589043</v>
      </c>
      <c r="N6" s="56">
        <f t="shared" ref="N6:AG6" si="6">$B$6/O4</f>
        <v>0.25180351870648782</v>
      </c>
      <c r="O6" s="54">
        <f t="shared" ref="O6:O7" si="7">(((N4/365)*$B$7)/100)+M6</f>
        <v>0.29831531506849318</v>
      </c>
      <c r="P6" s="56">
        <f t="shared" ref="P6:AG6" si="8">$B$6/Q4</f>
        <v>0.2497847029138438</v>
      </c>
      <c r="Q6" s="54">
        <f t="shared" ref="Q6:Q7" si="9">(((P4/365)*$B$7)/100)+O6</f>
        <v>0.34719059178082196</v>
      </c>
      <c r="R6" s="56">
        <f t="shared" ref="R6:AG6" si="10">$B$6/S4</f>
        <v>0.24893201087107078</v>
      </c>
      <c r="S6" s="54">
        <f t="shared" ref="S6:S7" si="11">(((R4/365)*$B$7)/100)+Q6</f>
        <v>0.39584570958904114</v>
      </c>
      <c r="T6" s="56">
        <f t="shared" ref="T6:AG6" si="12">$B$6/U4</f>
        <v>0.25036731741365531</v>
      </c>
      <c r="U6" s="54">
        <f t="shared" ref="U6:U7" si="13">(((T4/365)*$B$7)/100)+S6</f>
        <v>0.4449411452054795</v>
      </c>
      <c r="V6" s="56">
        <f t="shared" ref="V6:AG6" si="14">$B$6/W4</f>
        <v>0.24877662259961569</v>
      </c>
      <c r="W6" s="54">
        <f t="shared" ref="W6:W7" si="15">(((V4/365)*$B$7)/100)+U6</f>
        <v>0.49359626301369869</v>
      </c>
      <c r="X6" s="56">
        <f t="shared" ref="X6:AG6" si="16">$B$6/Y4</f>
        <v>0.24871052605803712</v>
      </c>
      <c r="Y6" s="54">
        <f t="shared" ref="Y6:Y7" si="17">(((X4/365)*$B$7)/100)+W6</f>
        <v>0.54225138082191782</v>
      </c>
      <c r="Z6" s="56">
        <f t="shared" ref="Z6:AG6" si="18">$B$6/AA4</f>
        <v>0.24935762793782262</v>
      </c>
      <c r="AA6" s="54">
        <f t="shared" ref="AA6:AA7" si="19">(((Z4/365)*$B$7)/100)+Y6</f>
        <v>0.59112665753424665</v>
      </c>
      <c r="AB6" s="56">
        <f t="shared" ref="AB6:AG6" si="20">$B$6/AC4</f>
        <v>0.25043585571992172</v>
      </c>
      <c r="AC6" s="54">
        <f t="shared" ref="AC6:AC7" si="21">(((AB4/365)*$B$7)/100)+AA6</f>
        <v>0.64033217260273978</v>
      </c>
      <c r="AD6" s="56">
        <f t="shared" ref="AD6:AG6" si="22">$B$6/AE4</f>
        <v>0.24358433588821257</v>
      </c>
      <c r="AE6" s="54">
        <f t="shared" ref="AE6:AE7" si="23">(((AD4/365)*$B$7)/100)+AC6</f>
        <v>0.68755625753424665</v>
      </c>
      <c r="AF6" s="56">
        <f t="shared" ref="AF6:AG6" si="24">$B$6/AG4</f>
        <v>0.24613729669654585</v>
      </c>
      <c r="AG6" s="54">
        <f t="shared" ref="AG6:AG7" si="25">(((AF4/365)*$B$7)/100)+AE6</f>
        <v>0.73555089863013712</v>
      </c>
    </row>
    <row r="7" spans="1:120" x14ac:dyDescent="0.25">
      <c r="A7" s="46" t="s">
        <v>17</v>
      </c>
      <c r="B7" s="49">
        <f>'020519'!C2</f>
        <v>401.79</v>
      </c>
      <c r="C7" s="50">
        <v>43587</v>
      </c>
      <c r="D7" s="55">
        <f>$B$7/E5</f>
        <v>0.25</v>
      </c>
      <c r="E7" s="54">
        <f>(((D5/365)*$B$7)/100)</f>
        <v>4.8875276712328775E-2</v>
      </c>
      <c r="F7" s="56">
        <f>$B$6/G5</f>
        <v>0.24949673096267405</v>
      </c>
      <c r="G7" s="54">
        <f>(((F5/365)*$B$7)/100)+E7</f>
        <v>9.7530394520547958E-2</v>
      </c>
      <c r="H7" s="56">
        <f t="shared" ref="H7:AG7" si="26">$B$6/I5</f>
        <v>0.24864139285850279</v>
      </c>
      <c r="I7" s="54">
        <f t="shared" si="1"/>
        <v>0.14596535342465755</v>
      </c>
      <c r="J7" s="56">
        <f t="shared" ref="J7:AG7" si="27">$B$6/K5</f>
        <v>0.24778884860824155</v>
      </c>
      <c r="K7" s="54">
        <f t="shared" si="3"/>
        <v>0.19418015342465755</v>
      </c>
      <c r="L7" s="56">
        <f t="shared" ref="L7:AG7" si="28">$B$6/M5</f>
        <v>0.24731840970448413</v>
      </c>
      <c r="M7" s="54">
        <f t="shared" si="5"/>
        <v>0.24228487397260276</v>
      </c>
      <c r="N7" s="56">
        <f t="shared" ref="N7:AG7" si="29">$B$6/O5</f>
        <v>0.24722575093425758</v>
      </c>
      <c r="O7" s="54">
        <f t="shared" si="7"/>
        <v>0.29038959452054797</v>
      </c>
      <c r="P7" s="56">
        <f t="shared" ref="P7:AG7" si="30">$B$6/Q5</f>
        <v>0.24524202840278686</v>
      </c>
      <c r="Q7" s="54">
        <f t="shared" si="9"/>
        <v>0.3379439178082192</v>
      </c>
      <c r="R7" s="56">
        <f t="shared" ref="R7:AG7" si="31">$B$6/S5</f>
        <v>0.24440666134286418</v>
      </c>
      <c r="S7" s="54">
        <f t="shared" si="11"/>
        <v>0.38527808219178084</v>
      </c>
      <c r="T7" s="56">
        <f t="shared" ref="T7:AG7" si="32">$B$6/U5</f>
        <v>0.24581863150225661</v>
      </c>
      <c r="U7" s="54">
        <f t="shared" si="13"/>
        <v>0.43305256438356166</v>
      </c>
      <c r="V7" s="56">
        <f t="shared" ref="V7:AG7" si="33">$B$6/W5</f>
        <v>0.24425538747588255</v>
      </c>
      <c r="W7" s="54">
        <f t="shared" si="15"/>
        <v>0.48038672876712329</v>
      </c>
      <c r="X7" s="56">
        <f t="shared" ref="X7:AG7" si="34">$B$6/Y5</f>
        <v>0.24419167125614544</v>
      </c>
      <c r="Y7" s="54">
        <f t="shared" si="17"/>
        <v>0.52772089315068493</v>
      </c>
      <c r="Z7" s="56">
        <f t="shared" ref="Z7:AG7" si="35">$B$6/AA5</f>
        <v>0.2448303332514021</v>
      </c>
      <c r="AA7" s="54">
        <f t="shared" si="19"/>
        <v>0.57527521643835622</v>
      </c>
      <c r="AB7" s="56">
        <f t="shared" ref="AB7:AG7" si="36">$B$6/AC5</f>
        <v>0.2458907098298912</v>
      </c>
      <c r="AC7" s="54">
        <f t="shared" si="21"/>
        <v>0.62315977808219181</v>
      </c>
      <c r="AD7" s="56">
        <f t="shared" ref="AD7:AG7" si="37">$B$6/AE5</f>
        <v>0.24808817874689842</v>
      </c>
      <c r="AE7" s="54">
        <f t="shared" si="23"/>
        <v>0.67170481643835622</v>
      </c>
      <c r="AF7" s="56">
        <f t="shared" ref="AF7:AG7" si="38">$B$6/AG5</f>
        <v>0.24166709747639328</v>
      </c>
      <c r="AG7" s="54">
        <f t="shared" si="25"/>
        <v>0.71837850410958914</v>
      </c>
    </row>
    <row r="10" spans="1:120" x14ac:dyDescent="0.25">
      <c r="AC10" s="6"/>
    </row>
    <row r="11" spans="1:120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2019-05-22T16:47:11Z</dcterms:modified>
</cp:coreProperties>
</file>