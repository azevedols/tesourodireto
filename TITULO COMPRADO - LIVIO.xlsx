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P6" i="2" l="1"/>
  <c r="AQ6" i="2"/>
  <c r="AP7" i="2"/>
  <c r="AQ7" i="2"/>
  <c r="F8" i="1" l="1"/>
  <c r="E8" i="1"/>
  <c r="D8" i="1"/>
  <c r="C8" i="1"/>
  <c r="AN6" i="2" l="1"/>
  <c r="AO6" i="2"/>
  <c r="AN7" i="2"/>
  <c r="AO7" i="2"/>
  <c r="AL6" i="2" l="1"/>
  <c r="AM6" i="2"/>
  <c r="AL7" i="2"/>
  <c r="AM7" i="2"/>
  <c r="AJ6" i="2" l="1"/>
  <c r="AK6" i="2"/>
  <c r="AJ7" i="2"/>
  <c r="AK7" i="2"/>
  <c r="AF7" i="2" l="1"/>
  <c r="AH7" i="2"/>
  <c r="B6" i="2"/>
  <c r="AH6" i="2"/>
  <c r="AI6" i="2"/>
  <c r="AI7" i="2"/>
  <c r="H7" i="2" l="1"/>
  <c r="I7" i="2"/>
  <c r="J7" i="2"/>
  <c r="K7" i="2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L7" i="2"/>
  <c r="N7" i="2"/>
  <c r="P7" i="2"/>
  <c r="R7" i="2"/>
  <c r="T7" i="2"/>
  <c r="V7" i="2"/>
  <c r="X7" i="2"/>
  <c r="Z7" i="2"/>
  <c r="AB7" i="2"/>
  <c r="AD7" i="2"/>
  <c r="I6" i="2"/>
  <c r="K6" i="2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G7" i="2"/>
  <c r="G6" i="2"/>
  <c r="E7" i="2"/>
  <c r="E6" i="2"/>
  <c r="H6" i="2" l="1"/>
  <c r="L6" i="2"/>
  <c r="P6" i="2"/>
  <c r="T6" i="2"/>
  <c r="X6" i="2"/>
  <c r="AB6" i="2"/>
  <c r="AF6" i="2"/>
  <c r="J6" i="2"/>
  <c r="N6" i="2"/>
  <c r="R6" i="2"/>
  <c r="V6" i="2"/>
  <c r="Z6" i="2"/>
  <c r="AD6" i="2"/>
  <c r="F7" i="2"/>
  <c r="F6" i="2"/>
  <c r="D7" i="2"/>
  <c r="D6" i="2"/>
  <c r="B7" i="2" l="1"/>
  <c r="H2" i="1"/>
  <c r="G2" i="1"/>
  <c r="H8" i="1" s="1"/>
  <c r="E2" i="1"/>
  <c r="G8" i="1" s="1"/>
  <c r="F2" i="1"/>
  <c r="A2" i="1"/>
</calcChain>
</file>

<file path=xl/sharedStrings.xml><?xml version="1.0" encoding="utf-8"?>
<sst xmlns="http://schemas.openxmlformats.org/spreadsheetml/2006/main" count="66" uniqueCount="26">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</sst>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  <xf numFmtId="14" fontId="0" fillId="0" borderId="0" xfId="0" applyNumberFormat="1"/>
    <xf numFmtId="8" fontId="3" fillId="3" borderId="14" xfId="0" applyNumberFormat="1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GRAFICO!$B$4:$AO$4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(GRAFICO!$D$4,GRAFICO!$F$4,GRAFICO!$H$4,GRAFICO!$J$4,GRAFICO!$L$4,GRAFICO!$N$4,GRAFICO!$P$4,GRAFICO!$R$4,GRAFICO!$T$4,GRAFICO!$V$4,GRAFICO!$X$4,GRAFICO!$Z$4,GRAFICO!$AB$4,GRAFICO!$AD$4,GRAFICO!$AF$4,GRAFICO!$AH$4,GRAFICO!$AJ$4,GRAFICO!$AL$4,GRAFICO!$AN$4)</c:f>
              <c:numCache>
                <c:formatCode>m/d/yyyy</c:formatCode>
                <c:ptCount val="19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4.29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  <c:pt idx="17" formatCode="General">
                  <c:v>4.3499999999999996</c:v>
                </c:pt>
                <c:pt idx="18" formatCode="General">
                  <c:v>4.33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GRAFICO!$B$5:$AO$5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(GRAFICO!$D$5,GRAFICO!$F$5,GRAFICO!$H$5,GRAFICO!$J$5,GRAFICO!$L$5,GRAFICO!$N$5,GRAFICO!$P$5,GRAFICO!$R$5,GRAFICO!$T$5,GRAFICO!$V$5,GRAFICO!$X$5,GRAFICO!$Z$5,GRAFICO!$AB$5,GRAFICO!$AD$5,GRAFICO!$AF$5,GRAFICO!$AH$5,GRAFICO!$AJ$5,GRAFICO!$AL$5,GRAFICO!$AN$5)</c:f>
              <c:numCache>
                <c:formatCode>m/d/yyyy</c:formatCode>
                <c:ptCount val="19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4.41</c:v>
                </c:pt>
                <c:pt idx="14" formatCode="General">
                  <c:v>4.24</c:v>
                </c:pt>
                <c:pt idx="15" formatCode="General">
                  <c:v>4.29</c:v>
                </c:pt>
                <c:pt idx="16" formatCode="General">
                  <c:v>4.22</c:v>
                </c:pt>
                <c:pt idx="17" formatCode="General">
                  <c:v>4.2300000000000004</c:v>
                </c:pt>
                <c:pt idx="18" formatCode="General">
                  <c:v>4.21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5548496"/>
        <c:axId val="115068809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GRAFICO!$B$6:$AO$6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0.00">
                        <c:v>0.25512798155620736</c:v>
                      </c:pt>
                      <c:pt idx="1" formatCode="0.00">
                        <c:v>0.2541503130915318</c:v>
                      </c:pt>
                      <c:pt idx="2" formatCode="0.00">
                        <c:v>0.25327727400311195</c:v>
                      </c:pt>
                      <c:pt idx="3" formatCode="0.00">
                        <c:v>0.25240862980631523</c:v>
                      </c:pt>
                      <c:pt idx="4" formatCode="0.00">
                        <c:v>0.25192844417416244</c:v>
                      </c:pt>
                      <c:pt idx="5" formatCode="0.00">
                        <c:v>0.25183388649667288</c:v>
                      </c:pt>
                      <c:pt idx="6" formatCode="0.00">
                        <c:v>0.24981482723255269</c:v>
                      </c:pt>
                      <c:pt idx="7" formatCode="0.00">
                        <c:v>0.2489620323541514</c:v>
                      </c:pt>
                      <c:pt idx="8" formatCode="0.00">
                        <c:v>0.2503975119963342</c:v>
                      </c:pt>
                      <c:pt idx="9" formatCode="0.00">
                        <c:v>0.24880662534269438</c:v>
                      </c:pt>
                      <c:pt idx="10" formatCode="0.00">
                        <c:v>0.24874052082979786</c:v>
                      </c:pt>
                      <c:pt idx="11" formatCode="0.00">
                        <c:v>0.2493877007508046</c:v>
                      </c:pt>
                      <c:pt idx="12" formatCode="0.00">
                        <c:v>0.25046605856839815</c:v>
                      </c:pt>
                      <c:pt idx="13" formatCode="0.00">
                        <c:v>0.24361371243561997</c:v>
                      </c:pt>
                      <c:pt idx="14" formatCode="0.00">
                        <c:v>0.24616698113392466</c:v>
                      </c:pt>
                      <c:pt idx="15" formatCode="0.00">
                        <c:v>0.24798512728811881</c:v>
                      </c:pt>
                      <c:pt idx="16" formatCode="0.00">
                        <c:v>0.24524172175943709</c:v>
                      </c:pt>
                      <c:pt idx="17" formatCode="0.00">
                        <c:v>0.24560379712100783</c:v>
                      </c:pt>
                      <c:pt idx="18" formatCode="0.00">
                        <c:v>0.24479434731717462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GRAFICO!$B$7:$AO$7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0.25</c:v>
                      </c:pt>
                      <c:pt idx="1" formatCode="0.00">
                        <c:v>0.24952682055163874</c:v>
                      </c:pt>
                      <c:pt idx="2" formatCode="0.00">
                        <c:v>0.24867137929272118</c:v>
                      </c:pt>
                      <c:pt idx="3" formatCode="0.00">
                        <c:v>0.24781873222465564</c:v>
                      </c:pt>
                      <c:pt idx="4" formatCode="0.00">
                        <c:v>0.2473482365854324</c:v>
                      </c:pt>
                      <c:pt idx="5" formatCode="0.00">
                        <c:v>0.24725556664045298</c:v>
                      </c:pt>
                      <c:pt idx="6" formatCode="0.00">
                        <c:v>0.24527160486979319</c:v>
                      </c:pt>
                      <c:pt idx="7" formatCode="0.00">
                        <c:v>0.24443613706365483</c:v>
                      </c:pt>
                      <c:pt idx="8" formatCode="0.00">
                        <c:v>0.24584827750825125</c:v>
                      </c:pt>
                      <c:pt idx="9" formatCode="0.00">
                        <c:v>0.24428484495287314</c:v>
                      </c:pt>
                      <c:pt idx="10" formatCode="0.00">
                        <c:v>0.2442211210488876</c:v>
                      </c:pt>
                      <c:pt idx="11" formatCode="0.00">
                        <c:v>0.24485986006750585</c:v>
                      </c:pt>
                      <c:pt idx="12" formatCode="0.00">
                        <c:v>0.24592036452861396</c:v>
                      </c:pt>
                      <c:pt idx="13" formatCode="0.00">
                        <c:v>0.248118098462867</c:v>
                      </c:pt>
                      <c:pt idx="14" formatCode="0.00">
                        <c:v>0.24169624280267191</c:v>
                      </c:pt>
                      <c:pt idx="15" formatCode="0.00">
                        <c:v>0.24348552416080169</c:v>
                      </c:pt>
                      <c:pt idx="16" formatCode="0.00">
                        <c:v>0.24078982225923135</c:v>
                      </c:pt>
                      <c:pt idx="17" formatCode="0.00">
                        <c:v>0.24114608423104211</c:v>
                      </c:pt>
                      <c:pt idx="18" formatCode="0.00">
                        <c:v>0.24035278843712055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2554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8096"/>
        <c:crosses val="autoZero"/>
        <c:auto val="1"/>
        <c:lblAlgn val="ctr"/>
        <c:lblOffset val="100"/>
        <c:noMultiLvlLbl val="0"/>
      </c:catAx>
      <c:valAx>
        <c:axId val="115068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54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GRAFICO!$B$4:$AO$4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(GRAFICO!$E$4,GRAFICO!$G$4,GRAFICO!$I$4,GRAFICO!$K$4,GRAFICO!$M$4,GRAFICO!$O$4,GRAFICO!$Q$4,GRAFICO!$S$4,GRAFICO!$U$4,GRAFICO!$W$4,GRAFICO!$Y$4,GRAFICO!$AA$4,GRAFICO!$AC$4,GRAFICO!$AE$4,GRAFICO!$AG$4,GRAFICO!$AI$4,GRAFICO!$AK$4,GRAFICO!$AM$4,GRAFICO!$AO$4)</c:f>
              <c:numCache>
                <c:formatCode>m/d/yyyy</c:formatCode>
                <c:ptCount val="19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  <c:pt idx="13" formatCode="&quot;R$&quot;#,##0.00_);[Red]\(&quot;R$&quot;#,##0.00\)">
                  <c:v>1652.51</c:v>
                </c:pt>
                <c:pt idx="14" formatCode="&quot;R$&quot;#,##0.00_);[Red]\(&quot;R$&quot;#,##0.00\)">
                  <c:v>1635.37</c:v>
                </c:pt>
                <c:pt idx="15" formatCode="&quot;R$&quot;#,##0.00_);[Red]\(&quot;R$&quot;#,##0.00\)">
                  <c:v>1623.38</c:v>
                </c:pt>
                <c:pt idx="16" formatCode="&quot;R$&quot;#,##0.00_);[Red]\(&quot;R$&quot;#,##0.00\)">
                  <c:v>1641.54</c:v>
                </c:pt>
                <c:pt idx="17" formatCode="&quot;R$&quot;#,##0.00_);[Red]\(&quot;R$&quot;#,##0.00\)">
                  <c:v>1639.12</c:v>
                </c:pt>
                <c:pt idx="18" formatCode="&quot;R$&quot;#,##0.00_);[Red]\(&quot;R$&quot;#,##0.00\)">
                  <c:v>1644.54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GRAFICO!$B$5:$AO$5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(GRAFICO!$E$5,GRAFICO!$G$5,GRAFICO!$I$5,GRAFICO!$K$5,GRAFICO!$M$5,GRAFICO!$O$5,GRAFICO!$Q$5,GRAFICO!$S$5,GRAFICO!$U$5,GRAFICO!$W$5,GRAFICO!$Y$5,GRAFICO!$AA$5,GRAFICO!$AC$5,GRAFICO!$AE$5,GRAFICO!$AG$5,GRAFICO!$AI$5,GRAFICO!$AK$5,GRAFICO!$AM$5,GRAFICO!$AO$5)</c:f>
              <c:numCache>
                <c:formatCode>m/d/yyyy</c:formatCode>
                <c:ptCount val="19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  <c:pt idx="13" formatCode="&quot;R$&quot;#,##0.00_);[Red]\(&quot;R$&quot;#,##0.00\)">
                  <c:v>1622.51</c:v>
                </c:pt>
                <c:pt idx="14" formatCode="&quot;R$&quot;#,##0.00_);[Red]\(&quot;R$&quot;#,##0.00\)">
                  <c:v>1665.62</c:v>
                </c:pt>
                <c:pt idx="15" formatCode="&quot;R$&quot;#,##0.00_);[Red]\(&quot;R$&quot;#,##0.00\)">
                  <c:v>1653.38</c:v>
                </c:pt>
                <c:pt idx="16" formatCode="&quot;R$&quot;#,##0.00_);[Red]\(&quot;R$&quot;#,##0.00\)">
                  <c:v>1671.89</c:v>
                </c:pt>
                <c:pt idx="17" formatCode="&quot;R$&quot;#,##0.00_);[Red]\(&quot;R$&quot;#,##0.00\)">
                  <c:v>1669.42</c:v>
                </c:pt>
                <c:pt idx="18" formatCode="&quot;R$&quot;#,##0.00_);[Red]\(&quot;R$&quot;#,##0.00\)">
                  <c:v>1674.93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682656"/>
        <c:axId val="1150681568"/>
      </c:lineChart>
      <c:catAx>
        <c:axId val="115068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1568"/>
        <c:crosses val="autoZero"/>
        <c:auto val="1"/>
        <c:lblAlgn val="ctr"/>
        <c:lblOffset val="100"/>
        <c:noMultiLvlLbl val="0"/>
      </c:catAx>
      <c:valAx>
        <c:axId val="115068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GRAFICO!$B$6:$AO$6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(GRAFICO!$D$6,GRAFICO!$F$6,GRAFICO!$H$6,GRAFICO!$J$6,GRAFICO!$L$6,GRAFICO!$N$6,GRAFICO!$P$6,GRAFICO!$R$6,GRAFICO!$T$6,GRAFICO!$V$6,GRAFICO!$X$6,GRAFICO!$Z$6,GRAFICO!$AB$6,GRAFICO!$AD$6,GRAFICO!$AF$6,GRAFICO!$AH$6,GRAFICO!$AJ$6,GRAFICO!$AL$6,GRAFICO!$AN$6)</c:f>
              <c:numCache>
                <c:formatCode>m/d/yyyy</c:formatCode>
                <c:ptCount val="19"/>
                <c:pt idx="0" formatCode="0.00">
                  <c:v>0.25512798155620736</c:v>
                </c:pt>
                <c:pt idx="1" formatCode="0.00">
                  <c:v>0.2541503130915318</c:v>
                </c:pt>
                <c:pt idx="2" formatCode="0.00">
                  <c:v>0.25327727400311195</c:v>
                </c:pt>
                <c:pt idx="3" formatCode="0.00">
                  <c:v>0.25240862980631523</c:v>
                </c:pt>
                <c:pt idx="4" formatCode="0.00">
                  <c:v>0.25192844417416244</c:v>
                </c:pt>
                <c:pt idx="5" formatCode="0.00">
                  <c:v>0.25183388649667288</c:v>
                </c:pt>
                <c:pt idx="6" formatCode="0.00">
                  <c:v>0.24981482723255269</c:v>
                </c:pt>
                <c:pt idx="7" formatCode="0.00">
                  <c:v>0.2489620323541514</c:v>
                </c:pt>
                <c:pt idx="8" formatCode="0.00">
                  <c:v>0.2503975119963342</c:v>
                </c:pt>
                <c:pt idx="9" formatCode="0.00">
                  <c:v>0.24880662534269438</c:v>
                </c:pt>
                <c:pt idx="10" formatCode="0.00">
                  <c:v>0.24874052082979786</c:v>
                </c:pt>
                <c:pt idx="11" formatCode="0.00">
                  <c:v>0.2493877007508046</c:v>
                </c:pt>
                <c:pt idx="12" formatCode="0.00">
                  <c:v>0.25046605856839815</c:v>
                </c:pt>
                <c:pt idx="13" formatCode="0.00">
                  <c:v>0.24361371243561997</c:v>
                </c:pt>
                <c:pt idx="14" formatCode="0.00">
                  <c:v>0.24616698113392466</c:v>
                </c:pt>
                <c:pt idx="15" formatCode="0.00">
                  <c:v>0.24798512728811881</c:v>
                </c:pt>
                <c:pt idx="16" formatCode="0.00">
                  <c:v>0.24524172175943709</c:v>
                </c:pt>
                <c:pt idx="17" formatCode="0.00">
                  <c:v>0.24560379712100783</c:v>
                </c:pt>
                <c:pt idx="18" formatCode="0.00">
                  <c:v>0.24479434731717462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GRAFICO!$B$7:$AO$7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(GRAFICO!$D$7,GRAFICO!$F$7,GRAFICO!$H$7,GRAFICO!$J$7,GRAFICO!$L$7,GRAFICO!$N$7,GRAFICO!$P$7,GRAFICO!$R$7,GRAFICO!$T$7,GRAFICO!$V$7,GRAFICO!$X$7,GRAFICO!$Z$7,GRAFICO!$AB$7,GRAFICO!$AD$7,GRAFICO!$AF$7,GRAFICO!$AH$7,GRAFICO!$AJ$7,GRAFICO!$AL$7,GRAFICO!$AN$7)</c:f>
              <c:numCache>
                <c:formatCode>m/d/yyyy</c:formatCode>
                <c:ptCount val="19"/>
                <c:pt idx="0" formatCode="General">
                  <c:v>0.25</c:v>
                </c:pt>
                <c:pt idx="1" formatCode="0.00">
                  <c:v>0.24952682055163874</c:v>
                </c:pt>
                <c:pt idx="2" formatCode="0.00">
                  <c:v>0.24867137929272118</c:v>
                </c:pt>
                <c:pt idx="3" formatCode="0.00">
                  <c:v>0.24781873222465564</c:v>
                </c:pt>
                <c:pt idx="4" formatCode="0.00">
                  <c:v>0.2473482365854324</c:v>
                </c:pt>
                <c:pt idx="5" formatCode="0.00">
                  <c:v>0.24725556664045298</c:v>
                </c:pt>
                <c:pt idx="6" formatCode="0.00">
                  <c:v>0.24527160486979319</c:v>
                </c:pt>
                <c:pt idx="7" formatCode="0.00">
                  <c:v>0.24443613706365483</c:v>
                </c:pt>
                <c:pt idx="8" formatCode="0.00">
                  <c:v>0.24584827750825125</c:v>
                </c:pt>
                <c:pt idx="9" formatCode="0.00">
                  <c:v>0.24428484495287314</c:v>
                </c:pt>
                <c:pt idx="10" formatCode="0.00">
                  <c:v>0.2442211210488876</c:v>
                </c:pt>
                <c:pt idx="11" formatCode="0.00">
                  <c:v>0.24485986006750585</c:v>
                </c:pt>
                <c:pt idx="12" formatCode="0.00">
                  <c:v>0.24592036452861396</c:v>
                </c:pt>
                <c:pt idx="13" formatCode="0.00">
                  <c:v>0.248118098462867</c:v>
                </c:pt>
                <c:pt idx="14" formatCode="0.00">
                  <c:v>0.24169624280267191</c:v>
                </c:pt>
                <c:pt idx="15" formatCode="0.00">
                  <c:v>0.24348552416080169</c:v>
                </c:pt>
                <c:pt idx="16" formatCode="0.00">
                  <c:v>0.24078982225923135</c:v>
                </c:pt>
                <c:pt idx="17" formatCode="0.00">
                  <c:v>0.24114608423104211</c:v>
                </c:pt>
                <c:pt idx="18" formatCode="0.00">
                  <c:v>0.24035278843712055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673952"/>
        <c:axId val="1150679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GRAFICO!$B$4:$AO$4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  <c:pt idx="17" formatCode="General">
                        <c:v>4.3499999999999996</c:v>
                      </c:pt>
                      <c:pt idx="18" formatCode="General">
                        <c:v>4.33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GRAFICO!$B$5:$AO$5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  <c:pt idx="15" formatCode="General">
                        <c:v>4.29</c:v>
                      </c:pt>
                      <c:pt idx="16" formatCode="General">
                        <c:v>4.22</c:v>
                      </c:pt>
                      <c:pt idx="17" formatCode="General">
                        <c:v>4.2300000000000004</c:v>
                      </c:pt>
                      <c:pt idx="18" formatCode="General">
                        <c:v>4.21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067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9936"/>
        <c:crosses val="autoZero"/>
        <c:auto val="1"/>
        <c:lblAlgn val="ctr"/>
        <c:lblOffset val="100"/>
        <c:noMultiLvlLbl val="0"/>
      </c:catAx>
      <c:valAx>
        <c:axId val="115067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GRAFICO!$B$6:$AO$6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(GRAFICO!$E$6,GRAFICO!$G$6,GRAFICO!$I$6,GRAFICO!$K$6,GRAFICO!$M$6,GRAFICO!$O$6,GRAFICO!$Q$6,GRAFICO!$S$6,GRAFICO!$U$6,GRAFICO!$W$6,GRAFICO!$Y$6,GRAFICO!$AA$6,GRAFICO!$AC$6,GRAFICO!$AE$6,GRAFICO!$AG$6,GRAFICO!$AI$6,GRAFICO!$AK$6,GRAFICO!$AM$6,GRAFICO!$AO$6)</c:f>
              <c:numCache>
                <c:formatCode>m/d/yyyy</c:formatCode>
                <c:ptCount val="19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  <c:pt idx="15" formatCode="_(&quot;R$&quot;* #,##0.00_);_(&quot;R$&quot;* \(#,##0.00\);_(&quot;R$&quot;* &quot;-&quot;??_);_(@_)">
                  <c:v>0.78409593698630153</c:v>
                </c:pt>
                <c:pt idx="16" formatCode="_(&quot;R$&quot;* #,##0.00_);_(&quot;R$&quot;* \(#,##0.00\);_(&quot;R$&quot;* &quot;-&quot;??_);_(@_)">
                  <c:v>0.83187041917808235</c:v>
                </c:pt>
                <c:pt idx="17" formatCode="_(&quot;R$&quot;* #,##0.00_);_(&quot;R$&quot;* \(#,##0.00\);_(&quot;R$&quot;* &quot;-&quot;??_);_(@_)">
                  <c:v>0.87975498082191794</c:v>
                </c:pt>
                <c:pt idx="18" formatCode="_(&quot;R$&quot;* #,##0.00_);_(&quot;R$&quot;* \(#,##0.00\);_(&quot;R$&quot;* &quot;-&quot;??_);_(@_)">
                  <c:v>0.927419383561644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GRAFICO!$B$7:$AO$7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(GRAFICO!$E$7,GRAFICO!$G$7,GRAFICO!$I$7,GRAFICO!$K$7,GRAFICO!$M$7,GRAFICO!$O$7,GRAFICO!$Q$7,GRAFICO!$S$7,GRAFICO!$U$7,GRAFICO!$W$7,GRAFICO!$Y$7,GRAFICO!$AA$7,GRAFICO!$AC$7,GRAFICO!$AE$7,GRAFICO!$AG$7,GRAFICO!$AI$7,GRAFICO!$AK$7,GRAFICO!$AM$7,GRAFICO!$AO$7)</c:f>
              <c:numCache>
                <c:formatCode>m/d/yyyy</c:formatCode>
                <c:ptCount val="19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  <c:pt idx="15" formatCode="_(&quot;R$&quot;* #,##0.00_);_(&quot;R$&quot;* \(#,##0.00\);_(&quot;R$&quot;* &quot;-&quot;??_);_(@_)">
                  <c:v>0.76560258904109602</c:v>
                </c:pt>
                <c:pt idx="16" formatCode="_(&quot;R$&quot;* #,##0.00_);_(&quot;R$&quot;* \(#,##0.00\);_(&quot;R$&quot;* &quot;-&quot;??_);_(@_)">
                  <c:v>0.81205611780821929</c:v>
                </c:pt>
                <c:pt idx="17" formatCode="_(&quot;R$&quot;* #,##0.00_);_(&quot;R$&quot;* \(#,##0.00\);_(&quot;R$&quot;* &quot;-&quot;??_);_(@_)">
                  <c:v>0.85861972602739733</c:v>
                </c:pt>
                <c:pt idx="18" formatCode="_(&quot;R$&quot;* #,##0.00_);_(&quot;R$&quot;* \(#,##0.00\);_(&quot;R$&quot;* &quot;-&quot;??_);_(@_)">
                  <c:v>0.90496317534246584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674496"/>
        <c:axId val="1150675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GRAFICO!$B$4:$AO$4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  <c:pt idx="15" formatCode="&quot;R$&quot;#,##0.00_);[Red]\(&quot;R$&quot;#,##0.00\)">
                        <c:v>1623.38</c:v>
                      </c:pt>
                      <c:pt idx="16" formatCode="&quot;R$&quot;#,##0.00_);[Red]\(&quot;R$&quot;#,##0.00\)">
                        <c:v>1641.54</c:v>
                      </c:pt>
                      <c:pt idx="17" formatCode="&quot;R$&quot;#,##0.00_);[Red]\(&quot;R$&quot;#,##0.00\)">
                        <c:v>1639.12</c:v>
                      </c:pt>
                      <c:pt idx="18" formatCode="&quot;R$&quot;#,##0.00_);[Red]\(&quot;R$&quot;#,##0.00\)">
                        <c:v>1644.54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GRAFICO!$B$5:$AO$5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  <c:pt idx="15" formatCode="&quot;R$&quot;#,##0.00_);[Red]\(&quot;R$&quot;#,##0.00\)">
                        <c:v>1653.38</c:v>
                      </c:pt>
                      <c:pt idx="16" formatCode="&quot;R$&quot;#,##0.00_);[Red]\(&quot;R$&quot;#,##0.00\)">
                        <c:v>1671.89</c:v>
                      </c:pt>
                      <c:pt idx="17" formatCode="&quot;R$&quot;#,##0.00_);[Red]\(&quot;R$&quot;#,##0.00\)">
                        <c:v>1669.42</c:v>
                      </c:pt>
                      <c:pt idx="18" formatCode="&quot;R$&quot;#,##0.00_);[Red]\(&quot;R$&quot;#,##0.00\)">
                        <c:v>1674.93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067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5040"/>
        <c:crosses val="autoZero"/>
        <c:auto val="1"/>
        <c:lblAlgn val="ctr"/>
        <c:lblOffset val="100"/>
        <c:noMultiLvlLbl val="0"/>
      </c:catAx>
      <c:valAx>
        <c:axId val="11506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5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44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P11"/>
  <sheetViews>
    <sheetView tabSelected="1" topLeftCell="AK1" workbookViewId="0">
      <selection activeCell="AP11" sqref="AP11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36" width="28.85546875" style="48" bestFit="1" customWidth="1"/>
    <col min="37" max="37" width="14.42578125" style="48" bestFit="1" customWidth="1"/>
    <col min="38" max="38" width="28.85546875" style="48" bestFit="1" customWidth="1"/>
    <col min="39" max="39" width="14.42578125" style="48" bestFit="1" customWidth="1"/>
    <col min="40" max="40" width="28.85546875" style="48" bestFit="1" customWidth="1"/>
    <col min="41" max="41" width="14.42578125" style="48" bestFit="1" customWidth="1"/>
    <col min="42" max="42" width="28.85546875" style="48" bestFit="1" customWidth="1"/>
    <col min="43" max="43" width="14.42578125" style="48" bestFit="1" customWidth="1"/>
    <col min="44" max="120" width="9.140625" style="48"/>
  </cols>
  <sheetData>
    <row r="2" spans="1:120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22" t="s">
        <v>11</v>
      </c>
      <c r="AK2" s="22" t="s">
        <v>12</v>
      </c>
      <c r="AL2" s="22" t="s">
        <v>11</v>
      </c>
      <c r="AM2" s="22" t="s">
        <v>12</v>
      </c>
      <c r="AN2" s="22" t="s">
        <v>11</v>
      </c>
      <c r="AO2" s="22" t="s">
        <v>12</v>
      </c>
      <c r="AP2" s="22" t="s">
        <v>11</v>
      </c>
      <c r="AQ2" s="22" t="s">
        <v>12</v>
      </c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</row>
    <row r="3" spans="1:120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28">
        <v>43609</v>
      </c>
      <c r="AK3" s="29">
        <v>43609</v>
      </c>
      <c r="AL3" s="28">
        <v>43612</v>
      </c>
      <c r="AM3" s="29">
        <v>43612</v>
      </c>
      <c r="AN3" s="28">
        <v>43613</v>
      </c>
      <c r="AO3" s="29">
        <v>43613</v>
      </c>
      <c r="AP3" s="28">
        <v>43614</v>
      </c>
      <c r="AQ3" s="29">
        <v>43614</v>
      </c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</row>
    <row r="4" spans="1:120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39">
        <v>4.34</v>
      </c>
      <c r="AK4" s="40">
        <v>1641.54</v>
      </c>
      <c r="AL4" s="39">
        <v>4.3499999999999996</v>
      </c>
      <c r="AM4" s="40">
        <v>1639.12</v>
      </c>
      <c r="AN4" s="39">
        <v>4.33</v>
      </c>
      <c r="AO4" s="41">
        <v>1644.54</v>
      </c>
      <c r="AP4" s="39">
        <v>4.1900000000000004</v>
      </c>
      <c r="AQ4" s="40">
        <v>1680.46</v>
      </c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</row>
    <row r="5" spans="1:120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  <c r="AJ5" s="51">
        <v>4.22</v>
      </c>
      <c r="AK5" s="52">
        <v>1671.89</v>
      </c>
      <c r="AL5" s="51">
        <v>4.2300000000000004</v>
      </c>
      <c r="AM5" s="52">
        <v>1669.42</v>
      </c>
      <c r="AN5" s="51">
        <v>4.21</v>
      </c>
      <c r="AO5" s="58">
        <v>1674.93</v>
      </c>
      <c r="AP5" s="51">
        <v>4.07</v>
      </c>
      <c r="AQ5" s="52">
        <v>1711.55</v>
      </c>
    </row>
    <row r="6" spans="1:120" s="48" customFormat="1" x14ac:dyDescent="0.25">
      <c r="A6" s="46" t="s">
        <v>16</v>
      </c>
      <c r="B6" s="49">
        <f>B7+AI6</f>
        <v>402.57409593698634</v>
      </c>
      <c r="C6" s="50">
        <v>43587</v>
      </c>
      <c r="D6" s="56">
        <f>$B$6/E4</f>
        <v>0.25512798155620736</v>
      </c>
      <c r="E6" s="54">
        <f>(((D4/365)*$B$7)/100)</f>
        <v>5.0196230136986299E-2</v>
      </c>
      <c r="F6" s="56">
        <f>$B$6/G4</f>
        <v>0.2541503130915318</v>
      </c>
      <c r="G6" s="54">
        <f>(((F4/365)*$B$7)/100)+E6</f>
        <v>0.10017230136986301</v>
      </c>
      <c r="H6" s="56">
        <f t="shared" ref="H6" si="0">$B$6/I4</f>
        <v>0.25327727400311195</v>
      </c>
      <c r="I6" s="54">
        <f t="shared" ref="I6:I7" si="1">(((H4/365)*$B$7)/100)+G6</f>
        <v>0.14992821369863013</v>
      </c>
      <c r="J6" s="56">
        <f t="shared" ref="J6" si="2">$B$6/K4</f>
        <v>0.25240862980631523</v>
      </c>
      <c r="K6" s="54">
        <f t="shared" ref="K6:K7" si="3">(((J4/365)*$B$7)/100)+I6</f>
        <v>0.19946396712328768</v>
      </c>
      <c r="L6" s="56">
        <f t="shared" ref="L6" si="4">$B$6/M4</f>
        <v>0.25192844417416244</v>
      </c>
      <c r="M6" s="54">
        <f t="shared" ref="M6:M7" si="5">(((L4/365)*$B$7)/100)+K6</f>
        <v>0.24888964109589043</v>
      </c>
      <c r="N6" s="56">
        <f t="shared" ref="N6" si="6">$B$6/O4</f>
        <v>0.25183388649667288</v>
      </c>
      <c r="O6" s="54">
        <f t="shared" ref="O6:O7" si="7">(((N4/365)*$B$7)/100)+M6</f>
        <v>0.29831531506849318</v>
      </c>
      <c r="P6" s="56">
        <f t="shared" ref="P6" si="8">$B$6/Q4</f>
        <v>0.24981482723255269</v>
      </c>
      <c r="Q6" s="54">
        <f t="shared" ref="Q6:Q7" si="9">(((P4/365)*$B$7)/100)+O6</f>
        <v>0.34719059178082196</v>
      </c>
      <c r="R6" s="56">
        <f t="shared" ref="R6" si="10">$B$6/S4</f>
        <v>0.2489620323541514</v>
      </c>
      <c r="S6" s="54">
        <f t="shared" ref="S6:S7" si="11">(((R4/365)*$B$7)/100)+Q6</f>
        <v>0.39584570958904114</v>
      </c>
      <c r="T6" s="56">
        <f t="shared" ref="T6" si="12">$B$6/U4</f>
        <v>0.2503975119963342</v>
      </c>
      <c r="U6" s="54">
        <f t="shared" ref="U6:U7" si="13">(((T4/365)*$B$7)/100)+S6</f>
        <v>0.4449411452054795</v>
      </c>
      <c r="V6" s="56">
        <f t="shared" ref="V6" si="14">$B$6/W4</f>
        <v>0.24880662534269438</v>
      </c>
      <c r="W6" s="54">
        <f t="shared" ref="W6:W7" si="15">(((V4/365)*$B$7)/100)+U6</f>
        <v>0.49359626301369869</v>
      </c>
      <c r="X6" s="56">
        <f t="shared" ref="X6" si="16">$B$6/Y4</f>
        <v>0.24874052082979786</v>
      </c>
      <c r="Y6" s="54">
        <f t="shared" ref="Y6:Y7" si="17">(((X4/365)*$B$7)/100)+W6</f>
        <v>0.54225138082191782</v>
      </c>
      <c r="Z6" s="56">
        <f t="shared" ref="Z6" si="18">$B$6/AA4</f>
        <v>0.2493877007508046</v>
      </c>
      <c r="AA6" s="54">
        <f t="shared" ref="AA6:AA7" si="19">(((Z4/365)*$B$7)/100)+Y6</f>
        <v>0.59112665753424665</v>
      </c>
      <c r="AB6" s="56">
        <f t="shared" ref="AB6" si="20">$B$6/AC4</f>
        <v>0.25046605856839815</v>
      </c>
      <c r="AC6" s="54">
        <f t="shared" ref="AC6:AC7" si="21">(((AB4/365)*$B$7)/100)+AA6</f>
        <v>0.64033217260273978</v>
      </c>
      <c r="AD6" s="56">
        <f t="shared" ref="AD6" si="22">$B$6/AE4</f>
        <v>0.24361371243561997</v>
      </c>
      <c r="AE6" s="54">
        <f t="shared" ref="AE6:AE7" si="23">(((AD4/365)*$B$7)/100)+AC6</f>
        <v>0.68755625753424665</v>
      </c>
      <c r="AF6" s="56">
        <f t="shared" ref="AF6" si="24">$B$6/AG4</f>
        <v>0.24616698113392466</v>
      </c>
      <c r="AG6" s="54">
        <f t="shared" ref="AG6:AG7" si="25">(((AF4/365)*$B$7)/100)+AE6</f>
        <v>0.73555089863013712</v>
      </c>
      <c r="AH6" s="56">
        <f>$B$6/AI4</f>
        <v>0.24798512728811881</v>
      </c>
      <c r="AI6" s="54">
        <f t="shared" ref="AI6:AI7" si="26">(((AH4/365)*$B$7)/100)+AG6</f>
        <v>0.78409593698630153</v>
      </c>
      <c r="AJ6" s="56">
        <f>$B$6/AK4</f>
        <v>0.24524172175943709</v>
      </c>
      <c r="AK6" s="54">
        <f t="shared" ref="AK6:AK7" si="27">(((AJ4/365)*$B$7)/100)+AI6</f>
        <v>0.83187041917808235</v>
      </c>
      <c r="AL6" s="56">
        <f>$B$6/AM4</f>
        <v>0.24560379712100783</v>
      </c>
      <c r="AM6" s="54">
        <f t="shared" ref="AM6:AM7" si="28">(((AL4/365)*$B$7)/100)+AK6</f>
        <v>0.87975498082191794</v>
      </c>
      <c r="AN6" s="56">
        <f>$B$6/AO4</f>
        <v>0.24479434731717462</v>
      </c>
      <c r="AO6" s="54">
        <f t="shared" ref="AO6:AO7" si="29">(((AN4/365)*$B$7)/100)+AM6</f>
        <v>0.927419383561644</v>
      </c>
      <c r="AP6" s="56">
        <f>$B$6/AQ4</f>
        <v>0.23956184374337167</v>
      </c>
      <c r="AQ6" s="54">
        <f t="shared" ref="AQ6:AQ7" si="30">(((AP4/365)*$B$7)/100)+AO6</f>
        <v>0.97354267397260286</v>
      </c>
    </row>
    <row r="7" spans="1:120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0.24952682055163874</v>
      </c>
      <c r="G7" s="54">
        <f>(((F5/365)*$B$7)/100)+E7</f>
        <v>9.7530394520547958E-2</v>
      </c>
      <c r="H7" s="56">
        <f t="shared" ref="H7" si="31">$B$6/I5</f>
        <v>0.24867137929272118</v>
      </c>
      <c r="I7" s="54">
        <f t="shared" si="1"/>
        <v>0.14596535342465755</v>
      </c>
      <c r="J7" s="56">
        <f t="shared" ref="J7" si="32">$B$6/K5</f>
        <v>0.24781873222465564</v>
      </c>
      <c r="K7" s="54">
        <f t="shared" si="3"/>
        <v>0.19418015342465755</v>
      </c>
      <c r="L7" s="56">
        <f t="shared" ref="L7" si="33">$B$6/M5</f>
        <v>0.2473482365854324</v>
      </c>
      <c r="M7" s="54">
        <f t="shared" si="5"/>
        <v>0.24228487397260276</v>
      </c>
      <c r="N7" s="56">
        <f t="shared" ref="N7" si="34">$B$6/O5</f>
        <v>0.24725556664045298</v>
      </c>
      <c r="O7" s="54">
        <f t="shared" si="7"/>
        <v>0.29038959452054797</v>
      </c>
      <c r="P7" s="56">
        <f t="shared" ref="P7" si="35">$B$6/Q5</f>
        <v>0.24527160486979319</v>
      </c>
      <c r="Q7" s="54">
        <f t="shared" si="9"/>
        <v>0.3379439178082192</v>
      </c>
      <c r="R7" s="56">
        <f t="shared" ref="R7" si="36">$B$6/S5</f>
        <v>0.24443613706365483</v>
      </c>
      <c r="S7" s="54">
        <f t="shared" si="11"/>
        <v>0.38527808219178084</v>
      </c>
      <c r="T7" s="56">
        <f t="shared" ref="T7" si="37">$B$6/U5</f>
        <v>0.24584827750825125</v>
      </c>
      <c r="U7" s="54">
        <f t="shared" si="13"/>
        <v>0.43305256438356166</v>
      </c>
      <c r="V7" s="56">
        <f t="shared" ref="V7" si="38">$B$6/W5</f>
        <v>0.24428484495287314</v>
      </c>
      <c r="W7" s="54">
        <f t="shared" si="15"/>
        <v>0.48038672876712329</v>
      </c>
      <c r="X7" s="56">
        <f t="shared" ref="X7" si="39">$B$6/Y5</f>
        <v>0.2442211210488876</v>
      </c>
      <c r="Y7" s="54">
        <f t="shared" si="17"/>
        <v>0.52772089315068493</v>
      </c>
      <c r="Z7" s="56">
        <f t="shared" ref="Z7" si="40">$B$6/AA5</f>
        <v>0.24485986006750585</v>
      </c>
      <c r="AA7" s="54">
        <f t="shared" si="19"/>
        <v>0.57527521643835622</v>
      </c>
      <c r="AB7" s="56">
        <f t="shared" ref="AB7" si="41">$B$6/AC5</f>
        <v>0.24592036452861396</v>
      </c>
      <c r="AC7" s="54">
        <f t="shared" si="21"/>
        <v>0.62315977808219181</v>
      </c>
      <c r="AD7" s="56">
        <f t="shared" ref="AD7" si="42">$B$6/AE5</f>
        <v>0.248118098462867</v>
      </c>
      <c r="AE7" s="54">
        <f t="shared" si="23"/>
        <v>0.67170481643835622</v>
      </c>
      <c r="AF7" s="56">
        <f>$B$6/AG5</f>
        <v>0.24169624280267191</v>
      </c>
      <c r="AG7" s="54">
        <f t="shared" si="25"/>
        <v>0.71837850410958914</v>
      </c>
      <c r="AH7" s="56">
        <f>$B$6/AI5</f>
        <v>0.24348552416080169</v>
      </c>
      <c r="AI7" s="54">
        <f t="shared" si="26"/>
        <v>0.76560258904109602</v>
      </c>
      <c r="AJ7" s="56">
        <f>$B$6/AK5</f>
        <v>0.24078982225923135</v>
      </c>
      <c r="AK7" s="54">
        <f t="shared" si="27"/>
        <v>0.81205611780821929</v>
      </c>
      <c r="AL7" s="56">
        <f>$B$6/AM5</f>
        <v>0.24114608423104211</v>
      </c>
      <c r="AM7" s="54">
        <f t="shared" si="28"/>
        <v>0.85861972602739733</v>
      </c>
      <c r="AN7" s="56">
        <f>$B$6/AO5</f>
        <v>0.24035278843712055</v>
      </c>
      <c r="AO7" s="54">
        <f t="shared" si="29"/>
        <v>0.90496317534246584</v>
      </c>
      <c r="AP7" s="56">
        <f>$B$6/AQ5</f>
        <v>0.23521024564692025</v>
      </c>
      <c r="AQ7" s="54">
        <f t="shared" si="30"/>
        <v>0.94976551232876727</v>
      </c>
    </row>
    <row r="10" spans="1:120" x14ac:dyDescent="0.25">
      <c r="AC10" s="6"/>
    </row>
    <row r="11" spans="1:120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2019-05-29T16:15:07Z</dcterms:modified>
</cp:coreProperties>
</file>