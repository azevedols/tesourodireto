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T7" i="2" l="1"/>
  <c r="AS7" i="2"/>
  <c r="AR7" i="2"/>
  <c r="AP7" i="2"/>
  <c r="AN7" i="2"/>
  <c r="AL7" i="2"/>
  <c r="AJ7" i="2"/>
  <c r="AH7" i="2"/>
  <c r="AF7" i="2"/>
  <c r="AD7" i="2"/>
  <c r="AB7" i="2"/>
  <c r="Z7" i="2"/>
  <c r="X7" i="2"/>
  <c r="V7" i="2"/>
  <c r="T7" i="2"/>
  <c r="R7" i="2"/>
  <c r="P7" i="2"/>
  <c r="N7" i="2"/>
  <c r="L7" i="2"/>
  <c r="J7" i="2"/>
  <c r="H7" i="2"/>
  <c r="F7" i="2"/>
  <c r="D7" i="2"/>
  <c r="AT6" i="2"/>
  <c r="AR6" i="2"/>
  <c r="AP6" i="2"/>
  <c r="AN6" i="2"/>
  <c r="AL6" i="2"/>
  <c r="AJ6" i="2"/>
  <c r="AH6" i="2"/>
  <c r="AF6" i="2"/>
  <c r="AD6" i="2"/>
  <c r="AB6" i="2"/>
  <c r="Z6" i="2"/>
  <c r="X6" i="2"/>
  <c r="V6" i="2" l="1"/>
  <c r="T6" i="2" l="1"/>
  <c r="R6" i="2"/>
  <c r="P6" i="2"/>
  <c r="N6" i="2"/>
  <c r="L6" i="2"/>
  <c r="J6" i="2"/>
  <c r="G7" i="2"/>
  <c r="H6" i="2"/>
  <c r="G6" i="2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AK6" i="2" s="1"/>
  <c r="AM6" i="2" s="1"/>
  <c r="AO6" i="2" s="1"/>
  <c r="AQ6" i="2" s="1"/>
  <c r="AS6" i="2" s="1"/>
  <c r="AU6" i="2" s="1"/>
  <c r="AU7" i="2" l="1"/>
  <c r="AV7" i="2" s="1"/>
  <c r="F8" i="1" l="1"/>
  <c r="E8" i="1"/>
  <c r="D8" i="1"/>
  <c r="C8" i="1"/>
  <c r="B7" i="2" l="1"/>
  <c r="H2" i="1"/>
  <c r="G2" i="1"/>
  <c r="H8" i="1" s="1"/>
  <c r="E2" i="1"/>
  <c r="G8" i="1" s="1"/>
  <c r="F2" i="1"/>
  <c r="A2" i="1"/>
  <c r="E6" i="2" l="1"/>
  <c r="E7" i="2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V6" i="2"/>
  <c r="AV8" i="2" s="1"/>
  <c r="B6" i="2"/>
  <c r="D6" i="2" l="1"/>
  <c r="F6" i="2" s="1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<sst xmlns="http://schemas.openxmlformats.org/spreadsheetml/2006/main" count="70" uniqueCount="26">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</sst>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4" xfId="0" applyNumberFormat="1" applyFont="1" applyFill="1" applyBorder="1" applyAlignment="1">
      <alignment horizontal="center" vertical="center"/>
    </xf>
    <xf numFmtId="44" fontId="0" fillId="0" borderId="0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4.29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  <c:pt idx="17" formatCode="General">
                  <c:v>4.3499999999999996</c:v>
                </c:pt>
                <c:pt idx="18" formatCode="General">
                  <c:v>4.33</c:v>
                </c:pt>
                <c:pt idx="19" formatCode="General">
                  <c:v>4.1900000000000004</c:v>
                </c:pt>
                <c:pt idx="20" formatCode="General">
                  <c:v>4.1900000000000004</c:v>
                </c:pt>
                <c:pt idx="21" formatCode="General">
                  <c:v>4.0999999999999996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4.41</c:v>
                </c:pt>
                <c:pt idx="14" formatCode="General">
                  <c:v>4.24</c:v>
                </c:pt>
                <c:pt idx="15" formatCode="General">
                  <c:v>4.29</c:v>
                </c:pt>
                <c:pt idx="16" formatCode="General">
                  <c:v>4.22</c:v>
                </c:pt>
                <c:pt idx="17" formatCode="General">
                  <c:v>4.2300000000000004</c:v>
                </c:pt>
                <c:pt idx="18" formatCode="General">
                  <c:v>4.21</c:v>
                </c:pt>
                <c:pt idx="19" formatCode="General">
                  <c:v>4.07</c:v>
                </c:pt>
                <c:pt idx="20" formatCode="General">
                  <c:v>4.07</c:v>
                </c:pt>
                <c:pt idx="21" formatCode="General">
                  <c:v>3.98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4433344"/>
        <c:axId val="41443824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0.25512798155620736</c:v>
                      </c:pt>
                      <c:pt idx="1" formatCode="0.00">
                        <c:v>0.50927829464773922</c:v>
                      </c:pt>
                      <c:pt idx="2" formatCode="0.00">
                        <c:v>0.76255556865085117</c:v>
                      </c:pt>
                      <c:pt idx="3" formatCode="0.00">
                        <c:v>1.0149641984571665</c:v>
                      </c:pt>
                      <c:pt idx="4" formatCode="0.00">
                        <c:v>1.2668926426313289</c:v>
                      </c:pt>
                      <c:pt idx="5" formatCode="0.00">
                        <c:v>1.5187265291280019</c:v>
                      </c:pt>
                      <c:pt idx="6" formatCode="0.00">
                        <c:v>1.7685413563605545</c:v>
                      </c:pt>
                      <c:pt idx="7" formatCode="0.00">
                        <c:v>2.0175033887147058</c:v>
                      </c:pt>
                      <c:pt idx="8" formatCode="0.00">
                        <c:v>2.26790090071104</c:v>
                      </c:pt>
                      <c:pt idx="9" formatCode="0.00">
                        <c:v>2.5167075260537342</c:v>
                      </c:pt>
                      <c:pt idx="10" formatCode="0.00">
                        <c:v>2.7654480468835319</c:v>
                      </c:pt>
                      <c:pt idx="11" formatCode="0.00">
                        <c:v>3.0148357476343364</c:v>
                      </c:pt>
                      <c:pt idx="12" formatCode="0.00">
                        <c:v>3.2653018062027344</c:v>
                      </c:pt>
                      <c:pt idx="13" formatCode="0.00">
                        <c:v>3.5089155186383545</c:v>
                      </c:pt>
                      <c:pt idx="14" formatCode="0.00">
                        <c:v>3.7550824997722794</c:v>
                      </c:pt>
                      <c:pt idx="15" formatCode="0.00">
                        <c:v>4.003067627060398</c:v>
                      </c:pt>
                      <c:pt idx="16" formatCode="0.00">
                        <c:v>4.2483093488198351</c:v>
                      </c:pt>
                      <c:pt idx="17" formatCode="0.00">
                        <c:v>4.4939131459408426</c:v>
                      </c:pt>
                      <c:pt idx="18" formatCode="0.00">
                        <c:v>4.7387074932580173</c:v>
                      </c:pt>
                      <c:pt idx="19" formatCode="0.00">
                        <c:v>4.9782693370013886</c:v>
                      </c:pt>
                      <c:pt idx="20" formatCode="0.00">
                        <c:v>5.2177741713938941</c:v>
                      </c:pt>
                      <c:pt idx="21" formatCode="0.00">
                        <c:v>5.4539170957053846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0.25048787671232881</c:v>
                      </c:pt>
                      <c:pt idx="1" formatCode="0.00">
                        <c:v>0.50465480210784608</c:v>
                      </c:pt>
                      <c:pt idx="2" formatCode="0.00">
                        <c:v>0.75794967394046042</c:v>
                      </c:pt>
                      <c:pt idx="3" formatCode="0.00">
                        <c:v>1.0103743008755068</c:v>
                      </c:pt>
                      <c:pt idx="4" formatCode="0.00">
                        <c:v>1.2577225374609393</c:v>
                      </c:pt>
                      <c:pt idx="5" formatCode="0.00">
                        <c:v>1.5049781041013923</c:v>
                      </c:pt>
                      <c:pt idx="6" formatCode="0.00">
                        <c:v>1.7502497089711855</c:v>
                      </c:pt>
                      <c:pt idx="7" formatCode="0.00">
                        <c:v>1.9946858460348402</c:v>
                      </c:pt>
                      <c:pt idx="8" formatCode="0.00">
                        <c:v>2.2405341235430916</c:v>
                      </c:pt>
                      <c:pt idx="9" formatCode="0.00">
                        <c:v>2.4848189684959645</c:v>
                      </c:pt>
                      <c:pt idx="10" formatCode="0.00">
                        <c:v>2.7290400895448519</c:v>
                      </c:pt>
                      <c:pt idx="11" formatCode="0.00">
                        <c:v>2.9738999496123579</c:v>
                      </c:pt>
                      <c:pt idx="12" formatCode="0.00">
                        <c:v>3.2198203141409718</c:v>
                      </c:pt>
                      <c:pt idx="13" formatCode="0.00">
                        <c:v>3.4679384126038388</c:v>
                      </c:pt>
                      <c:pt idx="14" formatCode="0.00">
                        <c:v>3.7096346554065107</c:v>
                      </c:pt>
                      <c:pt idx="15" formatCode="0.00">
                        <c:v>3.9531201795673123</c:v>
                      </c:pt>
                      <c:pt idx="16" formatCode="0.00">
                        <c:v>4.1939100018265441</c:v>
                      </c:pt>
                      <c:pt idx="17" formatCode="0.00">
                        <c:v>4.4350560860575863</c:v>
                      </c:pt>
                      <c:pt idx="18" formatCode="0.00">
                        <c:v>4.6754088744947069</c:v>
                      </c:pt>
                      <c:pt idx="19" formatCode="0.00">
                        <c:v>4.9106191201416269</c:v>
                      </c:pt>
                      <c:pt idx="20" formatCode="0.00">
                        <c:v>5.1457744085186157</c:v>
                      </c:pt>
                      <c:pt idx="21" formatCode="0.00">
                        <c:v>5.3776251851114605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1443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4438240"/>
        <c:crosses val="autoZero"/>
        <c:auto val="1"/>
        <c:lblAlgn val="ctr"/>
        <c:lblOffset val="100"/>
        <c:noMultiLvlLbl val="0"/>
      </c:catAx>
      <c:valAx>
        <c:axId val="41443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443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  <c:pt idx="13" formatCode="&quot;R$&quot;#,##0.00_);[Red]\(&quot;R$&quot;#,##0.00\)">
                  <c:v>1652.51</c:v>
                </c:pt>
                <c:pt idx="14" formatCode="&quot;R$&quot;#,##0.00_);[Red]\(&quot;R$&quot;#,##0.00\)">
                  <c:v>1635.37</c:v>
                </c:pt>
                <c:pt idx="15" formatCode="&quot;R$&quot;#,##0.00_);[Red]\(&quot;R$&quot;#,##0.00\)">
                  <c:v>1623.38</c:v>
                </c:pt>
                <c:pt idx="16" formatCode="&quot;R$&quot;#,##0.00_);[Red]\(&quot;R$&quot;#,##0.00\)">
                  <c:v>1641.54</c:v>
                </c:pt>
                <c:pt idx="17" formatCode="&quot;R$&quot;#,##0.00_);[Red]\(&quot;R$&quot;#,##0.00\)">
                  <c:v>1639.12</c:v>
                </c:pt>
                <c:pt idx="18" formatCode="&quot;R$&quot;#,##0.00_);[Red]\(&quot;R$&quot;#,##0.00\)">
                  <c:v>1644.54</c:v>
                </c:pt>
                <c:pt idx="19" formatCode="&quot;R$&quot;#,##0.00_);[Red]\(&quot;R$&quot;#,##0.00\)">
                  <c:v>1680.46</c:v>
                </c:pt>
                <c:pt idx="20" formatCode="&quot;R$&quot;#,##0.00_);[Red]\(&quot;R$&quot;#,##0.00\)">
                  <c:v>1680.86</c:v>
                </c:pt>
                <c:pt idx="21" formatCode="&quot;R$&quot;#,##0.00_);[Red]\(&quot;R$&quot;#,##0.00\)">
                  <c:v>1704.79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  <c:pt idx="13" formatCode="&quot;R$&quot;#,##0.00_);[Red]\(&quot;R$&quot;#,##0.00\)">
                  <c:v>1622.51</c:v>
                </c:pt>
                <c:pt idx="14" formatCode="&quot;R$&quot;#,##0.00_);[Red]\(&quot;R$&quot;#,##0.00\)">
                  <c:v>1665.62</c:v>
                </c:pt>
                <c:pt idx="15" formatCode="&quot;R$&quot;#,##0.00_);[Red]\(&quot;R$&quot;#,##0.00\)">
                  <c:v>1653.38</c:v>
                </c:pt>
                <c:pt idx="16" formatCode="&quot;R$&quot;#,##0.00_);[Red]\(&quot;R$&quot;#,##0.00\)">
                  <c:v>1671.89</c:v>
                </c:pt>
                <c:pt idx="17" formatCode="&quot;R$&quot;#,##0.00_);[Red]\(&quot;R$&quot;#,##0.00\)">
                  <c:v>1669.42</c:v>
                </c:pt>
                <c:pt idx="18" formatCode="&quot;R$&quot;#,##0.00_);[Red]\(&quot;R$&quot;#,##0.00\)">
                  <c:v>1674.93</c:v>
                </c:pt>
                <c:pt idx="19" formatCode="&quot;R$&quot;#,##0.00_);[Red]\(&quot;R$&quot;#,##0.00\)">
                  <c:v>1711.55</c:v>
                </c:pt>
                <c:pt idx="20" formatCode="&quot;R$&quot;#,##0.00_);[Red]\(&quot;R$&quot;#,##0.00\)">
                  <c:v>1711.95</c:v>
                </c:pt>
                <c:pt idx="21" formatCode="&quot;R$&quot;#,##0.00_);[Red]\(&quot;R$&quot;#,##0.00\)">
                  <c:v>1736.35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6007680"/>
        <c:axId val="586008768"/>
      </c:lineChart>
      <c:catAx>
        <c:axId val="58600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008768"/>
        <c:crosses val="autoZero"/>
        <c:auto val="1"/>
        <c:lblAlgn val="ctr"/>
        <c:lblOffset val="100"/>
        <c:noMultiLvlLbl val="0"/>
      </c:catAx>
      <c:valAx>
        <c:axId val="5860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00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0.25512798155620736</c:v>
                </c:pt>
                <c:pt idx="1" formatCode="0.00">
                  <c:v>0.50927829464773922</c:v>
                </c:pt>
                <c:pt idx="2" formatCode="0.00">
                  <c:v>0.76255556865085117</c:v>
                </c:pt>
                <c:pt idx="3" formatCode="0.00">
                  <c:v>1.0149641984571665</c:v>
                </c:pt>
                <c:pt idx="4" formatCode="0.00">
                  <c:v>1.2668926426313289</c:v>
                </c:pt>
                <c:pt idx="5" formatCode="0.00">
                  <c:v>1.5187265291280019</c:v>
                </c:pt>
                <c:pt idx="6" formatCode="0.00">
                  <c:v>1.7685413563605545</c:v>
                </c:pt>
                <c:pt idx="7" formatCode="0.00">
                  <c:v>2.0175033887147058</c:v>
                </c:pt>
                <c:pt idx="8" formatCode="0.00">
                  <c:v>2.26790090071104</c:v>
                </c:pt>
                <c:pt idx="9" formatCode="0.00">
                  <c:v>2.5167075260537342</c:v>
                </c:pt>
                <c:pt idx="10" formatCode="0.00">
                  <c:v>2.7654480468835319</c:v>
                </c:pt>
                <c:pt idx="11" formatCode="0.00">
                  <c:v>3.0148357476343364</c:v>
                </c:pt>
                <c:pt idx="12" formatCode="0.00">
                  <c:v>3.2653018062027344</c:v>
                </c:pt>
                <c:pt idx="13" formatCode="0.00">
                  <c:v>3.5089155186383545</c:v>
                </c:pt>
                <c:pt idx="14" formatCode="0.00">
                  <c:v>3.7550824997722794</c:v>
                </c:pt>
                <c:pt idx="15" formatCode="0.00">
                  <c:v>4.003067627060398</c:v>
                </c:pt>
                <c:pt idx="16" formatCode="0.00">
                  <c:v>4.2483093488198351</c:v>
                </c:pt>
                <c:pt idx="17" formatCode="0.00">
                  <c:v>4.4939131459408426</c:v>
                </c:pt>
                <c:pt idx="18" formatCode="0.00">
                  <c:v>4.7387074932580173</c:v>
                </c:pt>
                <c:pt idx="19" formatCode="0.00">
                  <c:v>4.9782693370013886</c:v>
                </c:pt>
                <c:pt idx="20" formatCode="0.00">
                  <c:v>5.2177741713938941</c:v>
                </c:pt>
                <c:pt idx="21" formatCode="0.00">
                  <c:v>5.4539170957053846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0.25048787671232881</c:v>
                </c:pt>
                <c:pt idx="1" formatCode="0.00">
                  <c:v>0.50465480210784608</c:v>
                </c:pt>
                <c:pt idx="2" formatCode="0.00">
                  <c:v>0.75794967394046042</c:v>
                </c:pt>
                <c:pt idx="3" formatCode="0.00">
                  <c:v>1.0103743008755068</c:v>
                </c:pt>
                <c:pt idx="4" formatCode="0.00">
                  <c:v>1.2577225374609393</c:v>
                </c:pt>
                <c:pt idx="5" formatCode="0.00">
                  <c:v>1.5049781041013923</c:v>
                </c:pt>
                <c:pt idx="6" formatCode="0.00">
                  <c:v>1.7502497089711855</c:v>
                </c:pt>
                <c:pt idx="7" formatCode="0.00">
                  <c:v>1.9946858460348402</c:v>
                </c:pt>
                <c:pt idx="8" formatCode="0.00">
                  <c:v>2.2405341235430916</c:v>
                </c:pt>
                <c:pt idx="9" formatCode="0.00">
                  <c:v>2.4848189684959645</c:v>
                </c:pt>
                <c:pt idx="10" formatCode="0.00">
                  <c:v>2.7290400895448519</c:v>
                </c:pt>
                <c:pt idx="11" formatCode="0.00">
                  <c:v>2.9738999496123579</c:v>
                </c:pt>
                <c:pt idx="12" formatCode="0.00">
                  <c:v>3.2198203141409718</c:v>
                </c:pt>
                <c:pt idx="13" formatCode="0.00">
                  <c:v>3.4679384126038388</c:v>
                </c:pt>
                <c:pt idx="14" formatCode="0.00">
                  <c:v>3.7096346554065107</c:v>
                </c:pt>
                <c:pt idx="15" formatCode="0.00">
                  <c:v>3.9531201795673123</c:v>
                </c:pt>
                <c:pt idx="16" formatCode="0.00">
                  <c:v>4.1939100018265441</c:v>
                </c:pt>
                <c:pt idx="17" formatCode="0.00">
                  <c:v>4.4350560860575863</c:v>
                </c:pt>
                <c:pt idx="18" formatCode="0.00">
                  <c:v>4.6754088744947069</c:v>
                </c:pt>
                <c:pt idx="19" formatCode="0.00">
                  <c:v>4.9106191201416269</c:v>
                </c:pt>
                <c:pt idx="20" formatCode="0.00">
                  <c:v>5.1457744085186157</c:v>
                </c:pt>
                <c:pt idx="21" formatCode="0.00">
                  <c:v>5.3776251851114605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72896"/>
        <c:axId val="6277712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  <c:pt idx="17" formatCode="General">
                        <c:v>4.3499999999999996</c:v>
                      </c:pt>
                      <c:pt idx="18" formatCode="General">
                        <c:v>4.33</c:v>
                      </c:pt>
                      <c:pt idx="19" formatCode="General">
                        <c:v>4.1900000000000004</c:v>
                      </c:pt>
                      <c:pt idx="20" formatCode="General">
                        <c:v>4.1900000000000004</c:v>
                      </c:pt>
                      <c:pt idx="21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  <c:pt idx="15" formatCode="General">
                        <c:v>4.29</c:v>
                      </c:pt>
                      <c:pt idx="16" formatCode="General">
                        <c:v>4.22</c:v>
                      </c:pt>
                      <c:pt idx="17" formatCode="General">
                        <c:v>4.2300000000000004</c:v>
                      </c:pt>
                      <c:pt idx="18" formatCode="General">
                        <c:v>4.21</c:v>
                      </c:pt>
                      <c:pt idx="19" formatCode="General">
                        <c:v>4.07</c:v>
                      </c:pt>
                      <c:pt idx="20" formatCode="General">
                        <c:v>4.07</c:v>
                      </c:pt>
                      <c:pt idx="21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2777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1264"/>
        <c:crosses val="autoZero"/>
        <c:auto val="1"/>
        <c:lblAlgn val="ctr"/>
        <c:lblOffset val="100"/>
        <c:noMultiLvlLbl val="0"/>
      </c:catAx>
      <c:valAx>
        <c:axId val="62777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  <c:pt idx="15" formatCode="_(&quot;R$&quot;* #,##0.00_);_(&quot;R$&quot;* \(#,##0.00\);_(&quot;R$&quot;* &quot;-&quot;??_);_(@_)">
                  <c:v>0.78409593698630153</c:v>
                </c:pt>
                <c:pt idx="16" formatCode="_(&quot;R$&quot;* #,##0.00_);_(&quot;R$&quot;* \(#,##0.00\);_(&quot;R$&quot;* &quot;-&quot;??_);_(@_)">
                  <c:v>0.83187041917808235</c:v>
                </c:pt>
                <c:pt idx="17" formatCode="_(&quot;R$&quot;* #,##0.00_);_(&quot;R$&quot;* \(#,##0.00\);_(&quot;R$&quot;* &quot;-&quot;??_);_(@_)">
                  <c:v>0.87975498082191794</c:v>
                </c:pt>
                <c:pt idx="18" formatCode="_(&quot;R$&quot;* #,##0.00_);_(&quot;R$&quot;* \(#,##0.00\);_(&quot;R$&quot;* &quot;-&quot;??_);_(@_)">
                  <c:v>0.927419383561644</c:v>
                </c:pt>
                <c:pt idx="19" formatCode="_(&quot;R$&quot;* #,##0.00_);_(&quot;R$&quot;* \(#,##0.00\);_(&quot;R$&quot;* &quot;-&quot;??_);_(@_)">
                  <c:v>0.97354267397260286</c:v>
                </c:pt>
                <c:pt idx="20" formatCode="_(&quot;R$&quot;* #,##0.00_);_(&quot;R$&quot;* \(#,##0.00\);_(&quot;R$&quot;* &quot;-&quot;??_);_(@_)">
                  <c:v>1.0196659643835617</c:v>
                </c:pt>
                <c:pt idx="21" formatCode="_(&quot;R$&quot;* #,##0.00_);_(&quot;R$&quot;* \(#,##0.00\);_(&quot;R$&quot;* &quot;-&quot;??_);_(@_)">
                  <c:v>1.0647985397260276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  <c:pt idx="15" formatCode="_(&quot;R$&quot;* #,##0.00_);_(&quot;R$&quot;* \(#,##0.00\);_(&quot;R$&quot;* &quot;-&quot;??_);_(@_)">
                  <c:v>0.76560258904109602</c:v>
                </c:pt>
                <c:pt idx="16" formatCode="_(&quot;R$&quot;* #,##0.00_);_(&quot;R$&quot;* \(#,##0.00\);_(&quot;R$&quot;* &quot;-&quot;??_);_(@_)">
                  <c:v>0.81205611780821929</c:v>
                </c:pt>
                <c:pt idx="17" formatCode="_(&quot;R$&quot;* #,##0.00_);_(&quot;R$&quot;* \(#,##0.00\);_(&quot;R$&quot;* &quot;-&quot;??_);_(@_)">
                  <c:v>0.85861972602739733</c:v>
                </c:pt>
                <c:pt idx="18" formatCode="_(&quot;R$&quot;* #,##0.00_);_(&quot;R$&quot;* \(#,##0.00\);_(&quot;R$&quot;* &quot;-&quot;??_);_(@_)">
                  <c:v>0.90496317534246584</c:v>
                </c:pt>
                <c:pt idx="19" formatCode="_(&quot;R$&quot;* #,##0.00_);_(&quot;R$&quot;* \(#,##0.00\);_(&quot;R$&quot;* &quot;-&quot;??_);_(@_)">
                  <c:v>0.94976551232876727</c:v>
                </c:pt>
                <c:pt idx="20" formatCode="_(&quot;R$&quot;* #,##0.00_);_(&quot;R$&quot;* \(#,##0.00\);_(&quot;R$&quot;* &quot;-&quot;??_);_(@_)">
                  <c:v>0.9945678493150687</c:v>
                </c:pt>
                <c:pt idx="21" formatCode="_(&quot;R$&quot;* #,##0.00_);_(&quot;R$&quot;* \(#,##0.00\);_(&quot;R$&quot;* &quot;-&quot;??_);_(@_)">
                  <c:v>1.0383794712328769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73440"/>
        <c:axId val="627778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  <c:pt idx="15" formatCode="&quot;R$&quot;#,##0.00_);[Red]\(&quot;R$&quot;#,##0.00\)">
                        <c:v>1623.38</c:v>
                      </c:pt>
                      <c:pt idx="16" formatCode="&quot;R$&quot;#,##0.00_);[Red]\(&quot;R$&quot;#,##0.00\)">
                        <c:v>1641.54</c:v>
                      </c:pt>
                      <c:pt idx="17" formatCode="&quot;R$&quot;#,##0.00_);[Red]\(&quot;R$&quot;#,##0.00\)">
                        <c:v>1639.12</c:v>
                      </c:pt>
                      <c:pt idx="18" formatCode="&quot;R$&quot;#,##0.00_);[Red]\(&quot;R$&quot;#,##0.00\)">
                        <c:v>1644.54</c:v>
                      </c:pt>
                      <c:pt idx="19" formatCode="&quot;R$&quot;#,##0.00_);[Red]\(&quot;R$&quot;#,##0.00\)">
                        <c:v>1680.46</c:v>
                      </c:pt>
                      <c:pt idx="20" formatCode="&quot;R$&quot;#,##0.00_);[Red]\(&quot;R$&quot;#,##0.00\)">
                        <c:v>1680.86</c:v>
                      </c:pt>
                      <c:pt idx="21" formatCode="&quot;R$&quot;#,##0.00_);[Red]\(&quot;R$&quot;#,##0.00\)">
                        <c:v>1704.79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  <c:pt idx="15" formatCode="&quot;R$&quot;#,##0.00_);[Red]\(&quot;R$&quot;#,##0.00\)">
                        <c:v>1653.38</c:v>
                      </c:pt>
                      <c:pt idx="16" formatCode="&quot;R$&quot;#,##0.00_);[Red]\(&quot;R$&quot;#,##0.00\)">
                        <c:v>1671.89</c:v>
                      </c:pt>
                      <c:pt idx="17" formatCode="&quot;R$&quot;#,##0.00_);[Red]\(&quot;R$&quot;#,##0.00\)">
                        <c:v>1669.42</c:v>
                      </c:pt>
                      <c:pt idx="18" formatCode="&quot;R$&quot;#,##0.00_);[Red]\(&quot;R$&quot;#,##0.00\)">
                        <c:v>1674.93</c:v>
                      </c:pt>
                      <c:pt idx="19" formatCode="&quot;R$&quot;#,##0.00_);[Red]\(&quot;R$&quot;#,##0.00\)">
                        <c:v>1711.55</c:v>
                      </c:pt>
                      <c:pt idx="20" formatCode="&quot;R$&quot;#,##0.00_);[Red]\(&quot;R$&quot;#,##0.00\)">
                        <c:v>1711.95</c:v>
                      </c:pt>
                      <c:pt idx="21" formatCode="&quot;R$&quot;#,##0.00_);[Red]\(&quot;R$&quot;#,##0.00\)">
                        <c:v>1736.35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2777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8880"/>
        <c:crosses val="autoZero"/>
        <c:auto val="1"/>
        <c:lblAlgn val="ctr"/>
        <c:lblOffset val="100"/>
        <c:noMultiLvlLbl val="0"/>
      </c:catAx>
      <c:valAx>
        <c:axId val="62777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56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44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AP1" workbookViewId="0">
      <selection activeCell="AT6" sqref="AT6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34" width="28.85546875" style="48" bestFit="1" customWidth="1"/>
    <col min="35" max="35" width="14.42578125" style="48" bestFit="1" customWidth="1"/>
    <col min="36" max="36" width="28.85546875" style="48" bestFit="1" customWidth="1"/>
    <col min="37" max="37" width="14.42578125" style="48" bestFit="1" customWidth="1"/>
    <col min="38" max="38" width="28.85546875" style="48" bestFit="1" customWidth="1"/>
    <col min="39" max="39" width="14.42578125" style="48" bestFit="1" customWidth="1"/>
    <col min="40" max="40" width="28.85546875" style="48" bestFit="1" customWidth="1"/>
    <col min="41" max="41" width="14.42578125" style="48" bestFit="1" customWidth="1"/>
    <col min="42" max="42" width="28.85546875" style="48" bestFit="1" customWidth="1"/>
    <col min="43" max="43" width="14.42578125" style="48" bestFit="1" customWidth="1"/>
    <col min="44" max="44" width="28.85546875" style="48" bestFit="1" customWidth="1"/>
    <col min="45" max="45" width="14.42578125" style="48" bestFit="1" customWidth="1"/>
    <col min="46" max="46" width="28.85546875" style="48" bestFit="1" customWidth="1"/>
    <col min="47" max="47" width="14.42578125" style="48" bestFit="1" customWidth="1"/>
    <col min="48" max="119" width="9.140625" style="48"/>
  </cols>
  <sheetData>
    <row r="2" spans="1:119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22" t="s">
        <v>11</v>
      </c>
      <c r="AI2" s="53" t="s">
        <v>12</v>
      </c>
      <c r="AJ2" s="22" t="s">
        <v>11</v>
      </c>
      <c r="AK2" s="22" t="s">
        <v>12</v>
      </c>
      <c r="AL2" s="22" t="s">
        <v>11</v>
      </c>
      <c r="AM2" s="22" t="s">
        <v>12</v>
      </c>
      <c r="AN2" s="22" t="s">
        <v>11</v>
      </c>
      <c r="AO2" s="22" t="s">
        <v>12</v>
      </c>
      <c r="AP2" s="22" t="s">
        <v>11</v>
      </c>
      <c r="AQ2" s="22" t="s">
        <v>12</v>
      </c>
      <c r="AR2" s="22" t="s">
        <v>11</v>
      </c>
      <c r="AS2" s="22" t="s">
        <v>12</v>
      </c>
      <c r="AT2" s="22" t="s">
        <v>11</v>
      </c>
      <c r="AU2" s="22" t="s">
        <v>12</v>
      </c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</row>
    <row r="3" spans="1:119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28">
        <v>43608</v>
      </c>
      <c r="AI3" s="29">
        <v>43608</v>
      </c>
      <c r="AJ3" s="28">
        <v>43609</v>
      </c>
      <c r="AK3" s="29">
        <v>43609</v>
      </c>
      <c r="AL3" s="28">
        <v>43612</v>
      </c>
      <c r="AM3" s="29">
        <v>43612</v>
      </c>
      <c r="AN3" s="28">
        <v>43613</v>
      </c>
      <c r="AO3" s="29">
        <v>43613</v>
      </c>
      <c r="AP3" s="28">
        <v>43614</v>
      </c>
      <c r="AQ3" s="29">
        <v>43614</v>
      </c>
      <c r="AR3" s="28">
        <v>43615</v>
      </c>
      <c r="AS3" s="29">
        <v>43615</v>
      </c>
      <c r="AT3" s="28">
        <v>43616</v>
      </c>
      <c r="AU3" s="29">
        <v>43616</v>
      </c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</row>
    <row r="4" spans="1:119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39">
        <v>4.41</v>
      </c>
      <c r="AI4" s="40">
        <v>1623.38</v>
      </c>
      <c r="AJ4" s="39">
        <v>4.34</v>
      </c>
      <c r="AK4" s="40">
        <v>1641.54</v>
      </c>
      <c r="AL4" s="39">
        <v>4.3499999999999996</v>
      </c>
      <c r="AM4" s="40">
        <v>1639.12</v>
      </c>
      <c r="AN4" s="39">
        <v>4.33</v>
      </c>
      <c r="AO4" s="41">
        <v>1644.54</v>
      </c>
      <c r="AP4" s="39">
        <v>4.1900000000000004</v>
      </c>
      <c r="AQ4" s="40">
        <v>1680.46</v>
      </c>
      <c r="AR4" s="39">
        <v>4.1900000000000004</v>
      </c>
      <c r="AS4" s="40">
        <v>1680.86</v>
      </c>
      <c r="AT4" s="39">
        <v>4.0999999999999996</v>
      </c>
      <c r="AU4" s="40">
        <v>1704.79</v>
      </c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</row>
    <row r="5" spans="1:119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  <c r="AH5" s="51">
        <v>4.29</v>
      </c>
      <c r="AI5" s="18">
        <v>1653.38</v>
      </c>
      <c r="AJ5" s="51">
        <v>4.22</v>
      </c>
      <c r="AK5" s="52">
        <v>1671.89</v>
      </c>
      <c r="AL5" s="51">
        <v>4.2300000000000004</v>
      </c>
      <c r="AM5" s="52">
        <v>1669.42</v>
      </c>
      <c r="AN5" s="51">
        <v>4.21</v>
      </c>
      <c r="AO5" s="57">
        <v>1674.93</v>
      </c>
      <c r="AP5" s="51">
        <v>4.07</v>
      </c>
      <c r="AQ5" s="52">
        <v>1711.55</v>
      </c>
      <c r="AR5" s="51">
        <v>4.07</v>
      </c>
      <c r="AS5" s="52">
        <v>1711.95</v>
      </c>
      <c r="AT5" s="51">
        <v>3.98</v>
      </c>
      <c r="AU5" s="52">
        <v>1736.35</v>
      </c>
    </row>
    <row r="6" spans="1:119" s="48" customFormat="1" x14ac:dyDescent="0.25">
      <c r="A6" s="46" t="s">
        <v>16</v>
      </c>
      <c r="B6" s="49">
        <f>B7+AI6</f>
        <v>402.57409593698634</v>
      </c>
      <c r="C6" s="50">
        <v>43587</v>
      </c>
      <c r="D6" s="55">
        <f>$B$6/E4</f>
        <v>0.25512798155620736</v>
      </c>
      <c r="E6" s="54">
        <f>(((D4/365)*$B$7)/100)</f>
        <v>5.0196230136986299E-2</v>
      </c>
      <c r="F6" s="55">
        <f>D$6+($B$6/G4)</f>
        <v>0.50927829464773922</v>
      </c>
      <c r="G6" s="54">
        <f>(((F4/365)*$B$7)/100)+E6</f>
        <v>0.10017230136986301</v>
      </c>
      <c r="H6" s="55">
        <f>F$6+($B$6/I4)</f>
        <v>0.76255556865085117</v>
      </c>
      <c r="I6" s="54">
        <f t="shared" ref="I6:I7" si="0">(((H4/365)*$B$7)/100)+G6</f>
        <v>0.14992821369863013</v>
      </c>
      <c r="J6" s="55">
        <f>H$6+($B$6/K4)</f>
        <v>1.0149641984571665</v>
      </c>
      <c r="K6" s="54">
        <f t="shared" ref="K6:K7" si="1">(((J4/365)*$B$7)/100)+I6</f>
        <v>0.19946396712328768</v>
      </c>
      <c r="L6" s="55">
        <f>J6+($B$6/M4)</f>
        <v>1.2668926426313289</v>
      </c>
      <c r="M6" s="54">
        <f t="shared" ref="M6:M7" si="2">(((L4/365)*$B$7)/100)+K6</f>
        <v>0.24888964109589043</v>
      </c>
      <c r="N6" s="55">
        <f>L6+($B$6/O4)</f>
        <v>1.5187265291280019</v>
      </c>
      <c r="O6" s="54">
        <f t="shared" ref="O6:O7" si="3">(((N4/365)*$B$7)/100)+M6</f>
        <v>0.29831531506849318</v>
      </c>
      <c r="P6" s="55">
        <f>N6+($B$6/Q4)</f>
        <v>1.7685413563605545</v>
      </c>
      <c r="Q6" s="54">
        <f t="shared" ref="Q6:Q7" si="4">(((P4/365)*$B$7)/100)+O6</f>
        <v>0.34719059178082196</v>
      </c>
      <c r="R6" s="55">
        <f>P6+($B$6/S4)</f>
        <v>2.0175033887147058</v>
      </c>
      <c r="S6" s="54">
        <f t="shared" ref="S6:S7" si="5">(((R4/365)*$B$7)/100)+Q6</f>
        <v>0.39584570958904114</v>
      </c>
      <c r="T6" s="55">
        <f>R6+($B$6/U4)</f>
        <v>2.26790090071104</v>
      </c>
      <c r="U6" s="54">
        <f t="shared" ref="U6:U7" si="6">(((T4/365)*$B$7)/100)+S6</f>
        <v>0.4449411452054795</v>
      </c>
      <c r="V6" s="55">
        <f>T6+($B$6/W4)</f>
        <v>2.5167075260537342</v>
      </c>
      <c r="W6" s="54">
        <f t="shared" ref="W6:W7" si="7">(((V4/365)*$B$7)/100)+U6</f>
        <v>0.49359626301369869</v>
      </c>
      <c r="X6" s="55">
        <f>V6+($B$6/Y4)</f>
        <v>2.7654480468835319</v>
      </c>
      <c r="Y6" s="54">
        <f t="shared" ref="Y6:Y7" si="8">(((X4/365)*$B$7)/100)+W6</f>
        <v>0.54225138082191782</v>
      </c>
      <c r="Z6" s="55">
        <f>X6+($B$6/AA4)</f>
        <v>3.0148357476343364</v>
      </c>
      <c r="AA6" s="54">
        <f t="shared" ref="AA6:AA7" si="9">(((Z4/365)*$B$7)/100)+Y6</f>
        <v>0.59112665753424665</v>
      </c>
      <c r="AB6" s="55">
        <f>Z6+($B$6/AC4)</f>
        <v>3.2653018062027344</v>
      </c>
      <c r="AC6" s="54">
        <f t="shared" ref="AC6:AC7" si="10">(((AB4/365)*$B$7)/100)+AA6</f>
        <v>0.64033217260273978</v>
      </c>
      <c r="AD6" s="55">
        <f>AB6+($B$6/AE4)</f>
        <v>3.5089155186383545</v>
      </c>
      <c r="AE6" s="54">
        <f t="shared" ref="AE6:AE7" si="11">(((AD4/365)*$B$7)/100)+AC6</f>
        <v>0.68755625753424665</v>
      </c>
      <c r="AF6" s="55">
        <f>AD6+($B$6/AG4)</f>
        <v>3.7550824997722794</v>
      </c>
      <c r="AG6" s="54">
        <f t="shared" ref="AG6:AG7" si="12">(((AF4/365)*$B$7)/100)+AE6</f>
        <v>0.73555089863013712</v>
      </c>
      <c r="AH6" s="55">
        <f>AF6+($B$6/AI4)</f>
        <v>4.003067627060398</v>
      </c>
      <c r="AI6" s="54">
        <f t="shared" ref="AI6:AI7" si="13">(((AH4/365)*$B$7)/100)+AG6</f>
        <v>0.78409593698630153</v>
      </c>
      <c r="AJ6" s="55">
        <f>AH6+($B$6/AK4)</f>
        <v>4.2483093488198351</v>
      </c>
      <c r="AK6" s="54">
        <f t="shared" ref="AK6:AK7" si="14">(((AJ4/365)*$B$7)/100)+AI6</f>
        <v>0.83187041917808235</v>
      </c>
      <c r="AL6" s="55">
        <f>AJ6+($B$6/AM4)</f>
        <v>4.4939131459408426</v>
      </c>
      <c r="AM6" s="54">
        <f t="shared" ref="AM6:AM7" si="15">(((AL4/365)*$B$7)/100)+AK6</f>
        <v>0.87975498082191794</v>
      </c>
      <c r="AN6" s="55">
        <f>AL6+($B$6/AO4)</f>
        <v>4.7387074932580173</v>
      </c>
      <c r="AO6" s="54">
        <f t="shared" ref="AO6:AO7" si="16">(((AN4/365)*$B$7)/100)+AM6</f>
        <v>0.927419383561644</v>
      </c>
      <c r="AP6" s="55">
        <f>AN6+($B$6/AQ4)</f>
        <v>4.9782693370013886</v>
      </c>
      <c r="AQ6" s="54">
        <f t="shared" ref="AQ6:AQ7" si="17">(((AP4/365)*$B$7)/100)+AO6</f>
        <v>0.97354267397260286</v>
      </c>
      <c r="AR6" s="55">
        <f>AP6+($B$6/AS4)</f>
        <v>5.2177741713938941</v>
      </c>
      <c r="AS6" s="54">
        <f t="shared" ref="AS6:AS7" si="18">(((AR4/365)*$B$7)/100)+AQ6</f>
        <v>1.0196659643835617</v>
      </c>
      <c r="AT6" s="55">
        <f>AR6+($B$6/AU4)</f>
        <v>5.4539170957053846</v>
      </c>
      <c r="AU6" s="54">
        <f t="shared" ref="AU6:AU7" si="19">(((AT4/365)*$B$7)/100)+AS6</f>
        <v>1.0647985397260276</v>
      </c>
      <c r="AV6" s="58">
        <f>AU6-E6</f>
        <v>1.0146023095890413</v>
      </c>
    </row>
    <row r="7" spans="1:119" x14ac:dyDescent="0.25">
      <c r="A7" s="46" t="s">
        <v>17</v>
      </c>
      <c r="B7" s="49">
        <f>'020519'!C2</f>
        <v>401.79</v>
      </c>
      <c r="C7" s="50">
        <v>43587</v>
      </c>
      <c r="D7" s="55">
        <f>$B$6/E5</f>
        <v>0.25048787671232881</v>
      </c>
      <c r="E7" s="54">
        <f>(((D5/365)*$B$7)/100)</f>
        <v>4.8875276712328775E-2</v>
      </c>
      <c r="F7" s="55">
        <f>D$6+($B$6/G5)</f>
        <v>0.50465480210784608</v>
      </c>
      <c r="G7" s="54">
        <f>(((F5/365)*$B$7)/100)+E7</f>
        <v>9.7530394520547958E-2</v>
      </c>
      <c r="H7" s="55">
        <f>F$6+($B$6/I5)</f>
        <v>0.75794967394046042</v>
      </c>
      <c r="I7" s="54">
        <f t="shared" si="0"/>
        <v>0.14596535342465755</v>
      </c>
      <c r="J7" s="55">
        <f>H$6+($B$6/K5)</f>
        <v>1.0103743008755068</v>
      </c>
      <c r="K7" s="54">
        <f t="shared" si="1"/>
        <v>0.19418015342465755</v>
      </c>
      <c r="L7" s="55">
        <f>J7+($B$6/M5)</f>
        <v>1.2577225374609393</v>
      </c>
      <c r="M7" s="54">
        <f t="shared" si="2"/>
        <v>0.24228487397260276</v>
      </c>
      <c r="N7" s="55">
        <f>L7+($B$6/O5)</f>
        <v>1.5049781041013923</v>
      </c>
      <c r="O7" s="54">
        <f t="shared" si="3"/>
        <v>0.29038959452054797</v>
      </c>
      <c r="P7" s="55">
        <f>N7+($B$6/Q5)</f>
        <v>1.7502497089711855</v>
      </c>
      <c r="Q7" s="54">
        <f t="shared" si="4"/>
        <v>0.3379439178082192</v>
      </c>
      <c r="R7" s="55">
        <f>P7+($B$6/S5)</f>
        <v>1.9946858460348402</v>
      </c>
      <c r="S7" s="54">
        <f t="shared" si="5"/>
        <v>0.38527808219178084</v>
      </c>
      <c r="T7" s="55">
        <f>R7+($B$6/U5)</f>
        <v>2.2405341235430916</v>
      </c>
      <c r="U7" s="54">
        <f t="shared" si="6"/>
        <v>0.43305256438356166</v>
      </c>
      <c r="V7" s="55">
        <f>T7+($B$6/W5)</f>
        <v>2.4848189684959645</v>
      </c>
      <c r="W7" s="54">
        <f t="shared" si="7"/>
        <v>0.48038672876712329</v>
      </c>
      <c r="X7" s="55">
        <f>V7+($B$6/Y5)</f>
        <v>2.7290400895448519</v>
      </c>
      <c r="Y7" s="54">
        <f t="shared" si="8"/>
        <v>0.52772089315068493</v>
      </c>
      <c r="Z7" s="55">
        <f>X7+($B$6/AA5)</f>
        <v>2.9738999496123579</v>
      </c>
      <c r="AA7" s="54">
        <f t="shared" si="9"/>
        <v>0.57527521643835622</v>
      </c>
      <c r="AB7" s="55">
        <f>Z7+($B$6/AC5)</f>
        <v>3.2198203141409718</v>
      </c>
      <c r="AC7" s="54">
        <f t="shared" si="10"/>
        <v>0.62315977808219181</v>
      </c>
      <c r="AD7" s="55">
        <f>AB7+($B$6/AE5)</f>
        <v>3.4679384126038388</v>
      </c>
      <c r="AE7" s="54">
        <f t="shared" si="11"/>
        <v>0.67170481643835622</v>
      </c>
      <c r="AF7" s="55">
        <f>AD7+($B$6/AG5)</f>
        <v>3.7096346554065107</v>
      </c>
      <c r="AG7" s="54">
        <f t="shared" si="12"/>
        <v>0.71837850410958914</v>
      </c>
      <c r="AH7" s="55">
        <f>AF7+($B$6/AI5)</f>
        <v>3.9531201795673123</v>
      </c>
      <c r="AI7" s="54">
        <f t="shared" si="13"/>
        <v>0.76560258904109602</v>
      </c>
      <c r="AJ7" s="55">
        <f>AH7+($B$6/AK5)</f>
        <v>4.1939100018265441</v>
      </c>
      <c r="AK7" s="54">
        <f t="shared" si="14"/>
        <v>0.81205611780821929</v>
      </c>
      <c r="AL7" s="55">
        <f>AJ7+($B$6/AM5)</f>
        <v>4.4350560860575863</v>
      </c>
      <c r="AM7" s="54">
        <f t="shared" si="15"/>
        <v>0.85861972602739733</v>
      </c>
      <c r="AN7" s="55">
        <f>AL7+($B$6/AO5)</f>
        <v>4.6754088744947069</v>
      </c>
      <c r="AO7" s="54">
        <f t="shared" si="16"/>
        <v>0.90496317534246584</v>
      </c>
      <c r="AP7" s="55">
        <f>AN7+($B$6/AQ5)</f>
        <v>4.9106191201416269</v>
      </c>
      <c r="AQ7" s="54">
        <f t="shared" si="17"/>
        <v>0.94976551232876727</v>
      </c>
      <c r="AR7" s="55">
        <f>AP7+($B$6/AS5)</f>
        <v>5.1457744085186157</v>
      </c>
      <c r="AS7" s="54">
        <f t="shared" si="18"/>
        <v>0.9945678493150687</v>
      </c>
      <c r="AT7" s="55">
        <f>AR7+($B$6/AU5)</f>
        <v>5.3776251851114605</v>
      </c>
      <c r="AU7" s="54">
        <f t="shared" si="19"/>
        <v>1.0383794712328769</v>
      </c>
      <c r="AV7" s="58">
        <f>AU7-E7</f>
        <v>0.98950419452054805</v>
      </c>
    </row>
    <row r="8" spans="1:119" x14ac:dyDescent="0.25">
      <c r="AV8" s="58">
        <f>AV6-AV7</f>
        <v>2.5098115068493243E-2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2019-07-02T16:22:09Z</dcterms:modified>
</cp:coreProperties>
</file>