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AV8" i="2" l="1"/>
  <c r="AV7" i="2"/>
  <c r="AV6" i="2"/>
  <c r="AT6" i="2"/>
  <c r="AU6" i="2"/>
  <c r="AT7" i="2"/>
  <c r="AU7" i="2"/>
  <c r="F8" i="1" l="1"/>
  <c r="E8" i="1"/>
  <c r="D8" i="1"/>
  <c r="C8" i="1"/>
  <c r="B7" i="2" l="1"/>
  <c r="H2" i="1"/>
  <c r="G2" i="1"/>
  <c r="H8" i="1" s="1"/>
  <c r="E2" i="1"/>
  <c r="G8" i="1" s="1"/>
  <c r="F2" i="1"/>
  <c r="A2" i="1"/>
  <c r="E6" i="2" l="1"/>
  <c r="G6" i="2" s="1"/>
  <c r="I6" i="2" s="1"/>
  <c r="K6" i="2" s="1"/>
  <c r="M6" i="2" s="1"/>
  <c r="O6" i="2" s="1"/>
  <c r="Q6" i="2" s="1"/>
  <c r="S6" i="2" s="1"/>
  <c r="U6" i="2" s="1"/>
  <c r="W6" i="2" s="1"/>
  <c r="Y6" i="2" s="1"/>
  <c r="AA6" i="2" s="1"/>
  <c r="AC6" i="2" s="1"/>
  <c r="AE6" i="2" s="1"/>
  <c r="AG6" i="2" s="1"/>
  <c r="AI6" i="2" s="1"/>
  <c r="E7" i="2"/>
  <c r="G7" i="2" s="1"/>
  <c r="I7" i="2" s="1"/>
  <c r="K7" i="2" s="1"/>
  <c r="M7" i="2" s="1"/>
  <c r="O7" i="2" s="1"/>
  <c r="Q7" i="2" s="1"/>
  <c r="S7" i="2" s="1"/>
  <c r="U7" i="2" s="1"/>
  <c r="W7" i="2" s="1"/>
  <c r="Y7" i="2" s="1"/>
  <c r="AA7" i="2" s="1"/>
  <c r="AC7" i="2" s="1"/>
  <c r="AE7" i="2" s="1"/>
  <c r="AG7" i="2" s="1"/>
  <c r="AI7" i="2" s="1"/>
  <c r="AK7" i="2" s="1"/>
  <c r="AM7" i="2" s="1"/>
  <c r="AO7" i="2" s="1"/>
  <c r="AQ7" i="2" s="1"/>
  <c r="AS7" i="2" s="1"/>
  <c r="D7" i="2"/>
  <c r="AK6" i="2" l="1"/>
  <c r="AM6" i="2" s="1"/>
  <c r="AO6" i="2" s="1"/>
  <c r="AQ6" i="2" s="1"/>
  <c r="AS6" i="2" s="1"/>
  <c r="B6" i="2"/>
  <c r="AR7" i="2" l="1"/>
  <c r="AR6" i="2"/>
  <c r="AP7" i="2"/>
  <c r="AP6" i="2"/>
  <c r="AN7" i="2"/>
  <c r="AN6" i="2"/>
  <c r="AL7" i="2"/>
  <c r="AL6" i="2"/>
  <c r="AJ6" i="2"/>
  <c r="AJ7" i="2"/>
  <c r="AF7" i="2"/>
  <c r="AH7" i="2"/>
  <c r="AH6" i="2"/>
  <c r="H7" i="2"/>
  <c r="L7" i="2"/>
  <c r="T7" i="2"/>
  <c r="AB7" i="2"/>
  <c r="X7" i="2"/>
  <c r="Z7" i="2"/>
  <c r="N7" i="2"/>
  <c r="V7" i="2"/>
  <c r="AD7" i="2"/>
  <c r="J7" i="2"/>
  <c r="P7" i="2"/>
  <c r="R7" i="2"/>
  <c r="H6" i="2"/>
  <c r="X6" i="2"/>
  <c r="N6" i="2"/>
  <c r="AD6" i="2"/>
  <c r="D6" i="2"/>
  <c r="V6" i="2"/>
  <c r="T6" i="2"/>
  <c r="Z6" i="2"/>
  <c r="L6" i="2"/>
  <c r="AB6" i="2"/>
  <c r="R6" i="2"/>
  <c r="F7" i="2"/>
  <c r="P6" i="2"/>
  <c r="AF6" i="2"/>
  <c r="F6" i="2"/>
  <c r="J6" i="2"/>
</calcChain>
</file>

<file path=xl/sharedStrings.xml><?xml version="1.0" encoding="utf-8"?>
<sst xmlns="http://schemas.openxmlformats.org/spreadsheetml/2006/main" count="70" uniqueCount="26">
  <si>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</si>
  <si>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</si>
  <si>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</si>
  <si>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</si>
  <si>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</si>
  <si>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</si>
  <si>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</si>
  <si>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</si>
  <si>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</si>
  <si>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</si>
  <si>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</si>
  <si>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</si>
  <si>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</si>
  <si>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</si>
  <si>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</si>
  <si>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</si>
  <si>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</si>
  <si>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</si>
  <si>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com Juros Semestrais</t>
  </si>
  <si>
    <t>Títulos</t>
  </si>
  <si>
    <t>Últ. 30 dias</t>
  </si>
  <si>
    <t>No ano</t>
  </si>
  <si>
    <t>12 meses</t>
  </si>
  <si>
    <t>Compra</t>
  </si>
  <si>
    <t>Venda</t>
  </si>
  <si>
    <t>Mês anterior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</si>
</sst>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44" formatCode="_-&quot;R$&quot;* #,##0.00_-;\-&quot;R$&quot;* #,##0.00_-;_-&quot;R$&quot;* &quot;-&quot;??_-;_-@_-"/>
    <numFmt numFmtId="164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60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8" fontId="3" fillId="3" borderId="2" xfId="0" applyNumberFormat="1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4" fontId="3" fillId="2" borderId="0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2" borderId="8" xfId="0" applyNumberFormat="1" applyFont="1" applyFill="1" applyBorder="1" applyAlignment="1">
      <alignment horizontal="center"/>
    </xf>
    <xf numFmtId="164" fontId="3" fillId="2" borderId="9" xfId="0" applyNumberFormat="1" applyFont="1" applyFill="1" applyBorder="1" applyAlignment="1">
      <alignment horizontal="center"/>
    </xf>
    <xf numFmtId="16" fontId="3" fillId="3" borderId="8" xfId="0" applyNumberFormat="1" applyFont="1" applyFill="1" applyBorder="1" applyAlignment="1">
      <alignment horizontal="center" wrapText="1"/>
    </xf>
    <xf numFmtId="16" fontId="3" fillId="3" borderId="9" xfId="0" applyNumberFormat="1" applyFont="1" applyFill="1" applyBorder="1" applyAlignment="1">
      <alignment horizontal="center" wrapText="1"/>
    </xf>
    <xf numFmtId="16" fontId="3" fillId="3" borderId="10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11" xfId="0" applyFont="1" applyBorder="1" applyAlignment="1"/>
    <xf numFmtId="0" fontId="3" fillId="2" borderId="8" xfId="0" applyFont="1" applyFill="1" applyBorder="1" applyAlignment="1">
      <alignment horizontal="left"/>
    </xf>
    <xf numFmtId="14" fontId="3" fillId="2" borderId="9" xfId="0" applyNumberFormat="1" applyFont="1" applyFill="1" applyBorder="1" applyAlignment="1">
      <alignment horizontal="center"/>
    </xf>
    <xf numFmtId="0" fontId="3" fillId="3" borderId="10" xfId="0" applyFont="1" applyFill="1" applyBorder="1" applyAlignment="1">
      <alignment wrapText="1"/>
    </xf>
    <xf numFmtId="14" fontId="3" fillId="3" borderId="10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8" fontId="3" fillId="3" borderId="9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vertical="center"/>
    </xf>
    <xf numFmtId="8" fontId="3" fillId="3" borderId="9" xfId="0" applyNumberFormat="1" applyFont="1" applyFill="1" applyBorder="1" applyAlignment="1">
      <alignment horizontal="center" vertical="center"/>
    </xf>
    <xf numFmtId="8" fontId="3" fillId="3" borderId="10" xfId="0" applyNumberFormat="1" applyFont="1" applyFill="1" applyBorder="1" applyAlignment="1">
      <alignment horizontal="center" vertical="center"/>
    </xf>
    <xf numFmtId="0" fontId="0" fillId="0" borderId="10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8" fontId="0" fillId="0" borderId="4" xfId="0" applyNumberFormat="1" applyBorder="1"/>
    <xf numFmtId="14" fontId="2" fillId="0" borderId="5" xfId="0" applyNumberFormat="1" applyFont="1" applyBorder="1" applyAlignment="1"/>
    <xf numFmtId="0" fontId="3" fillId="3" borderId="12" xfId="0" applyFont="1" applyFill="1" applyBorder="1" applyAlignment="1">
      <alignment horizontal="center" vertical="center"/>
    </xf>
    <xf numFmtId="8" fontId="3" fillId="3" borderId="13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wrapText="1"/>
    </xf>
    <xf numFmtId="44" fontId="0" fillId="0" borderId="5" xfId="2" applyFont="1" applyBorder="1"/>
    <xf numFmtId="0" fontId="0" fillId="0" borderId="4" xfId="0" applyNumberFormat="1" applyBorder="1"/>
    <xf numFmtId="2" fontId="0" fillId="0" borderId="4" xfId="0" applyNumberFormat="1" applyBorder="1"/>
    <xf numFmtId="14" fontId="0" fillId="0" borderId="0" xfId="0" applyNumberFormat="1"/>
    <xf numFmtId="8" fontId="3" fillId="3" borderId="14" xfId="0" applyNumberFormat="1" applyFont="1" applyFill="1" applyBorder="1" applyAlignment="1">
      <alignment horizontal="center" vertical="center"/>
    </xf>
    <xf numFmtId="44" fontId="0" fillId="0" borderId="0" xfId="0" applyNumberFormat="1" applyBorder="1"/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:f>
              <c:numCache>
                <c:formatCode>m/d/yyyy</c:formatCode>
                <c:ptCount val="22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4.29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  <c:pt idx="17" formatCode="General">
                  <c:v>4.3499999999999996</c:v>
                </c:pt>
                <c:pt idx="18" formatCode="General">
                  <c:v>4.33</c:v>
                </c:pt>
                <c:pt idx="19" formatCode="General">
                  <c:v>4.1900000000000004</c:v>
                </c:pt>
                <c:pt idx="20" formatCode="General">
                  <c:v>4.1900000000000004</c:v>
                </c:pt>
                <c:pt idx="21" formatCode="General">
                  <c:v>4.0999999999999996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:f>
              <c:numCache>
                <c:formatCode>m/d/yyyy</c:formatCode>
                <c:ptCount val="22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4.41</c:v>
                </c:pt>
                <c:pt idx="14" formatCode="General">
                  <c:v>4.24</c:v>
                </c:pt>
                <c:pt idx="15" formatCode="General">
                  <c:v>4.29</c:v>
                </c:pt>
                <c:pt idx="16" formatCode="General">
                  <c:v>4.22</c:v>
                </c:pt>
                <c:pt idx="17" formatCode="General">
                  <c:v>4.2300000000000004</c:v>
                </c:pt>
                <c:pt idx="18" formatCode="General">
                  <c:v>4.21</c:v>
                </c:pt>
                <c:pt idx="19" formatCode="General">
                  <c:v>4.07</c:v>
                </c:pt>
                <c:pt idx="20" formatCode="General">
                  <c:v>4.07</c:v>
                </c:pt>
                <c:pt idx="21" formatCode="General">
                  <c:v>3.98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60843696"/>
        <c:axId val="-76084315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GRAFICO!$B$6:$AU$6</c15:sqref>
                        </c15:fullRef>
                        <c15:formulaRef>
                          <c15:sqre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0.00">
                        <c:v>0.25512798155620736</c:v>
                      </c:pt>
                      <c:pt idx="1" formatCode="0.00">
                        <c:v>0.2541503130915318</c:v>
                      </c:pt>
                      <c:pt idx="2" formatCode="0.00">
                        <c:v>0.25327727400311195</c:v>
                      </c:pt>
                      <c:pt idx="3" formatCode="0.00">
                        <c:v>0.25240862980631523</c:v>
                      </c:pt>
                      <c:pt idx="4" formatCode="0.00">
                        <c:v>0.25192844417416244</c:v>
                      </c:pt>
                      <c:pt idx="5" formatCode="0.00">
                        <c:v>0.25183388649667288</c:v>
                      </c:pt>
                      <c:pt idx="6" formatCode="0.00">
                        <c:v>0.24981482723255269</c:v>
                      </c:pt>
                      <c:pt idx="7" formatCode="0.00">
                        <c:v>0.2489620323541514</c:v>
                      </c:pt>
                      <c:pt idx="8" formatCode="0.00">
                        <c:v>0.2503975119963342</c:v>
                      </c:pt>
                      <c:pt idx="9" formatCode="0.00">
                        <c:v>0.24880662534269438</c:v>
                      </c:pt>
                      <c:pt idx="10" formatCode="0.00">
                        <c:v>0.24874052082979786</c:v>
                      </c:pt>
                      <c:pt idx="11" formatCode="0.00">
                        <c:v>0.2493877007508046</c:v>
                      </c:pt>
                      <c:pt idx="12" formatCode="0.00">
                        <c:v>0.25046605856839815</c:v>
                      </c:pt>
                      <c:pt idx="13" formatCode="0.00">
                        <c:v>0.24361371243561997</c:v>
                      </c:pt>
                      <c:pt idx="14" formatCode="0.00">
                        <c:v>0.24616698113392466</c:v>
                      </c:pt>
                      <c:pt idx="15" formatCode="0.00">
                        <c:v>0.24798512728811881</c:v>
                      </c:pt>
                      <c:pt idx="16" formatCode="0.00">
                        <c:v>0.24524172175943709</c:v>
                      </c:pt>
                      <c:pt idx="17" formatCode="0.00">
                        <c:v>0.24560379712100783</c:v>
                      </c:pt>
                      <c:pt idx="18" formatCode="0.00">
                        <c:v>0.24479434731717462</c:v>
                      </c:pt>
                      <c:pt idx="19" formatCode="0.00">
                        <c:v>0.23956184374337167</c:v>
                      </c:pt>
                      <c:pt idx="20" formatCode="0.00">
                        <c:v>0.23950483439250525</c:v>
                      </c:pt>
                      <c:pt idx="21" formatCode="0.00">
                        <c:v>0.23614292431149078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GRAFICO!$A$7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GRAFICO!$B$7:$AU$7</c15:sqref>
                        </c15:fullRef>
                        <c15:formulaRef>
                          <c15:sqre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0.25</c:v>
                      </c:pt>
                      <c:pt idx="1" formatCode="0.00">
                        <c:v>0.24952682055163874</c:v>
                      </c:pt>
                      <c:pt idx="2" formatCode="0.00">
                        <c:v>0.24867137929272118</c:v>
                      </c:pt>
                      <c:pt idx="3" formatCode="0.00">
                        <c:v>0.24781873222465564</c:v>
                      </c:pt>
                      <c:pt idx="4" formatCode="0.00">
                        <c:v>0.2473482365854324</c:v>
                      </c:pt>
                      <c:pt idx="5" formatCode="0.00">
                        <c:v>0.24725556664045298</c:v>
                      </c:pt>
                      <c:pt idx="6" formatCode="0.00">
                        <c:v>0.24527160486979319</c:v>
                      </c:pt>
                      <c:pt idx="7" formatCode="0.00">
                        <c:v>0.24443613706365483</c:v>
                      </c:pt>
                      <c:pt idx="8" formatCode="0.00">
                        <c:v>0.24584827750825125</c:v>
                      </c:pt>
                      <c:pt idx="9" formatCode="0.00">
                        <c:v>0.24428484495287314</c:v>
                      </c:pt>
                      <c:pt idx="10" formatCode="0.00">
                        <c:v>0.2442211210488876</c:v>
                      </c:pt>
                      <c:pt idx="11" formatCode="0.00">
                        <c:v>0.24485986006750585</c:v>
                      </c:pt>
                      <c:pt idx="12" formatCode="0.00">
                        <c:v>0.24592036452861396</c:v>
                      </c:pt>
                      <c:pt idx="13" formatCode="0.00">
                        <c:v>0.248118098462867</c:v>
                      </c:pt>
                      <c:pt idx="14" formatCode="0.00">
                        <c:v>0.24169624280267191</c:v>
                      </c:pt>
                      <c:pt idx="15" formatCode="0.00">
                        <c:v>0.24348552416080169</c:v>
                      </c:pt>
                      <c:pt idx="16" formatCode="0.00">
                        <c:v>0.24078982225923135</c:v>
                      </c:pt>
                      <c:pt idx="17" formatCode="0.00">
                        <c:v>0.24114608423104211</c:v>
                      </c:pt>
                      <c:pt idx="18" formatCode="0.00">
                        <c:v>0.24035278843712055</c:v>
                      </c:pt>
                      <c:pt idx="19" formatCode="0.00">
                        <c:v>0.23521024564692025</c:v>
                      </c:pt>
                      <c:pt idx="20" formatCode="0.00">
                        <c:v>0.23515528837698901</c:v>
                      </c:pt>
                      <c:pt idx="21" formatCode="0.00">
                        <c:v>0.23185077659284498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6084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60843152"/>
        <c:crosses val="autoZero"/>
        <c:auto val="1"/>
        <c:lblAlgn val="ctr"/>
        <c:lblOffset val="100"/>
        <c:noMultiLvlLbl val="0"/>
      </c:catAx>
      <c:valAx>
        <c:axId val="-76084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6084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GRAFICO!$B$4:$AU$4</c15:sqref>
                  </c15:fullRef>
                </c:ext>
              </c:extLst>
              <c: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:f>
              <c:numCache>
                <c:formatCode>m/d/yyyy</c:formatCode>
                <c:ptCount val="22"/>
                <c:pt idx="0" formatCode="&quot;R$&quot;#,##0.00_);[Red]\(&quot;R$&quot;#,##0.00\)">
                  <c:v>1577.93</c:v>
                </c:pt>
                <c:pt idx="1" formatCode="&quot;R$&quot;#,##0.00_);[Red]\(&quot;R$&quot;#,##0.00\)">
                  <c:v>1584</c:v>
                </c:pt>
                <c:pt idx="2" formatCode="&quot;R$&quot;#,##0.00_);[Red]\(&quot;R$&quot;#,##0.00\)">
                  <c:v>1589.46</c:v>
                </c:pt>
                <c:pt idx="3" formatCode="&quot;R$&quot;#,##0.00_);[Red]\(&quot;R$&quot;#,##0.00\)">
                  <c:v>1594.93</c:v>
                </c:pt>
                <c:pt idx="4" formatCode="&quot;R$&quot;#,##0.00_);[Red]\(&quot;R$&quot;#,##0.00\)">
                  <c:v>1597.97</c:v>
                </c:pt>
                <c:pt idx="5" formatCode="&quot;R$&quot;#,##0.00_);[Red]\(&quot;R$&quot;#,##0.00\)">
                  <c:v>1598.57</c:v>
                </c:pt>
                <c:pt idx="6" formatCode="&quot;R$&quot;#,##0.00_);[Red]\(&quot;R$&quot;#,##0.00\)">
                  <c:v>1611.49</c:v>
                </c:pt>
                <c:pt idx="7" formatCode="&quot;R$&quot;#,##0.00_);[Red]\(&quot;R$&quot;#,##0.00\)">
                  <c:v>1617.01</c:v>
                </c:pt>
                <c:pt idx="8" formatCode="&quot;R$&quot;#,##0.00_);[Red]\(&quot;R$&quot;#,##0.00\)">
                  <c:v>1607.74</c:v>
                </c:pt>
                <c:pt idx="9" formatCode="&quot;R$&quot;#,##0.00_);[Red]\(&quot;R$&quot;#,##0.00\)">
                  <c:v>1618.02</c:v>
                </c:pt>
                <c:pt idx="10" formatCode="&quot;R$&quot;#,##0.00_);[Red]\(&quot;R$&quot;#,##0.00\)">
                  <c:v>1618.45</c:v>
                </c:pt>
                <c:pt idx="11" formatCode="&quot;R$&quot;#,##0.00_);[Red]\(&quot;R$&quot;#,##0.00\)">
                  <c:v>1614.25</c:v>
                </c:pt>
                <c:pt idx="12" formatCode="&quot;R$&quot;#,##0.00_);[Red]\(&quot;R$&quot;#,##0.00\)">
                  <c:v>1607.3</c:v>
                </c:pt>
                <c:pt idx="13" formatCode="&quot;R$&quot;#,##0.00_);[Red]\(&quot;R$&quot;#,##0.00\)">
                  <c:v>1652.51</c:v>
                </c:pt>
                <c:pt idx="14" formatCode="&quot;R$&quot;#,##0.00_);[Red]\(&quot;R$&quot;#,##0.00\)">
                  <c:v>1635.37</c:v>
                </c:pt>
                <c:pt idx="15" formatCode="&quot;R$&quot;#,##0.00_);[Red]\(&quot;R$&quot;#,##0.00\)">
                  <c:v>1623.38</c:v>
                </c:pt>
                <c:pt idx="16" formatCode="&quot;R$&quot;#,##0.00_);[Red]\(&quot;R$&quot;#,##0.00\)">
                  <c:v>1641.54</c:v>
                </c:pt>
                <c:pt idx="17" formatCode="&quot;R$&quot;#,##0.00_);[Red]\(&quot;R$&quot;#,##0.00\)">
                  <c:v>1639.12</c:v>
                </c:pt>
                <c:pt idx="18" formatCode="&quot;R$&quot;#,##0.00_);[Red]\(&quot;R$&quot;#,##0.00\)">
                  <c:v>1644.54</c:v>
                </c:pt>
                <c:pt idx="19" formatCode="&quot;R$&quot;#,##0.00_);[Red]\(&quot;R$&quot;#,##0.00\)">
                  <c:v>1680.46</c:v>
                </c:pt>
                <c:pt idx="20" formatCode="&quot;R$&quot;#,##0.00_);[Red]\(&quot;R$&quot;#,##0.00\)">
                  <c:v>1680.86</c:v>
                </c:pt>
                <c:pt idx="21" formatCode="&quot;R$&quot;#,##0.00_);[Red]\(&quot;R$&quot;#,##0.00\)">
                  <c:v>1704.79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GRAFICO!$B$5:$AU$5</c15:sqref>
                  </c15:fullRef>
                </c:ext>
              </c:extLst>
              <c: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:f>
              <c:numCache>
                <c:formatCode>m/d/yyyy</c:formatCode>
                <c:ptCount val="22"/>
                <c:pt idx="0" formatCode="&quot;R$&quot;#,##0.00_);[Red]\(&quot;R$&quot;#,##0.00\)">
                  <c:v>1607.16</c:v>
                </c:pt>
                <c:pt idx="1" formatCode="&quot;R$&quot;#,##0.00_);[Red]\(&quot;R$&quot;#,##0.00\)">
                  <c:v>1613.35</c:v>
                </c:pt>
                <c:pt idx="2" formatCode="&quot;R$&quot;#,##0.00_);[Red]\(&quot;R$&quot;#,##0.00\)">
                  <c:v>1618.9</c:v>
                </c:pt>
                <c:pt idx="3" formatCode="&quot;R$&quot;#,##0.00_);[Red]\(&quot;R$&quot;#,##0.00\)">
                  <c:v>1624.47</c:v>
                </c:pt>
                <c:pt idx="4" formatCode="&quot;R$&quot;#,##0.00_);[Red]\(&quot;R$&quot;#,##0.00\)">
                  <c:v>1627.56</c:v>
                </c:pt>
                <c:pt idx="5" formatCode="&quot;R$&quot;#,##0.00_);[Red]\(&quot;R$&quot;#,##0.00\)">
                  <c:v>1628.17</c:v>
                </c:pt>
                <c:pt idx="6" formatCode="&quot;R$&quot;#,##0.00_);[Red]\(&quot;R$&quot;#,##0.00\)">
                  <c:v>1641.34</c:v>
                </c:pt>
                <c:pt idx="7" formatCode="&quot;R$&quot;#,##0.00_);[Red]\(&quot;R$&quot;#,##0.00\)">
                  <c:v>1646.95</c:v>
                </c:pt>
                <c:pt idx="8" formatCode="&quot;R$&quot;#,##0.00_);[Red]\(&quot;R$&quot;#,##0.00\)">
                  <c:v>1637.49</c:v>
                </c:pt>
                <c:pt idx="9" formatCode="&quot;R$&quot;#,##0.00_);[Red]\(&quot;R$&quot;#,##0.00\)">
                  <c:v>1647.97</c:v>
                </c:pt>
                <c:pt idx="10" formatCode="&quot;R$&quot;#,##0.00_);[Red]\(&quot;R$&quot;#,##0.00\)">
                  <c:v>1648.4</c:v>
                </c:pt>
                <c:pt idx="11" formatCode="&quot;R$&quot;#,##0.00_);[Red]\(&quot;R$&quot;#,##0.00\)">
                  <c:v>1644.1</c:v>
                </c:pt>
                <c:pt idx="12" formatCode="&quot;R$&quot;#,##0.00_);[Red]\(&quot;R$&quot;#,##0.00\)">
                  <c:v>1637.01</c:v>
                </c:pt>
                <c:pt idx="13" formatCode="&quot;R$&quot;#,##0.00_);[Red]\(&quot;R$&quot;#,##0.00\)">
                  <c:v>1622.51</c:v>
                </c:pt>
                <c:pt idx="14" formatCode="&quot;R$&quot;#,##0.00_);[Red]\(&quot;R$&quot;#,##0.00\)">
                  <c:v>1665.62</c:v>
                </c:pt>
                <c:pt idx="15" formatCode="&quot;R$&quot;#,##0.00_);[Red]\(&quot;R$&quot;#,##0.00\)">
                  <c:v>1653.38</c:v>
                </c:pt>
                <c:pt idx="16" formatCode="&quot;R$&quot;#,##0.00_);[Red]\(&quot;R$&quot;#,##0.00\)">
                  <c:v>1671.89</c:v>
                </c:pt>
                <c:pt idx="17" formatCode="&quot;R$&quot;#,##0.00_);[Red]\(&quot;R$&quot;#,##0.00\)">
                  <c:v>1669.42</c:v>
                </c:pt>
                <c:pt idx="18" formatCode="&quot;R$&quot;#,##0.00_);[Red]\(&quot;R$&quot;#,##0.00\)">
                  <c:v>1674.93</c:v>
                </c:pt>
                <c:pt idx="19" formatCode="&quot;R$&quot;#,##0.00_);[Red]\(&quot;R$&quot;#,##0.00\)">
                  <c:v>1711.55</c:v>
                </c:pt>
                <c:pt idx="20" formatCode="&quot;R$&quot;#,##0.00_);[Red]\(&quot;R$&quot;#,##0.00\)">
                  <c:v>1711.95</c:v>
                </c:pt>
                <c:pt idx="21" formatCode="&quot;R$&quot;#,##0.00_);[Red]\(&quot;R$&quot;#,##0.00\)">
                  <c:v>1736.35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60842608"/>
        <c:axId val="-760844240"/>
      </c:lineChart>
      <c:catAx>
        <c:axId val="-76084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60844240"/>
        <c:crosses val="autoZero"/>
        <c:auto val="1"/>
        <c:lblAlgn val="ctr"/>
        <c:lblOffset val="100"/>
        <c:noMultiLvlLbl val="0"/>
      </c:catAx>
      <c:valAx>
        <c:axId val="-76084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60842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D$6,GRAFICO!$F$6,GRAFICO!$H$6,GRAFICO!$J$6,GRAFICO!$L$6,GRAFICO!$N$6,GRAFICO!$P$6,GRAFICO!$R$6,GRAFICO!$T$6,GRAFICO!$V$6,GRAFICO!$X$6,GRAFICO!$Z$6,GRAFICO!$AB$6,GRAFICO!$AD$6,GRAFICO!$AF$6,GRAFICO!$AH$6,GRAFICO!$AJ$6,GRAFICO!$AL$6,GRAFICO!$AN$6,GRAFICO!$AP$6,GRAFICO!$AR$6,GRAFICO!$AT$6)</c:f>
              <c:numCache>
                <c:formatCode>m/d/yyyy</c:formatCode>
                <c:ptCount val="22"/>
                <c:pt idx="0" formatCode="0.00">
                  <c:v>0.25512798155620736</c:v>
                </c:pt>
                <c:pt idx="1" formatCode="0.00">
                  <c:v>0.2541503130915318</c:v>
                </c:pt>
                <c:pt idx="2" formatCode="0.00">
                  <c:v>0.25327727400311195</c:v>
                </c:pt>
                <c:pt idx="3" formatCode="0.00">
                  <c:v>0.25240862980631523</c:v>
                </c:pt>
                <c:pt idx="4" formatCode="0.00">
                  <c:v>0.25192844417416244</c:v>
                </c:pt>
                <c:pt idx="5" formatCode="0.00">
                  <c:v>0.25183388649667288</c:v>
                </c:pt>
                <c:pt idx="6" formatCode="0.00">
                  <c:v>0.24981482723255269</c:v>
                </c:pt>
                <c:pt idx="7" formatCode="0.00">
                  <c:v>0.2489620323541514</c:v>
                </c:pt>
                <c:pt idx="8" formatCode="0.00">
                  <c:v>0.2503975119963342</c:v>
                </c:pt>
                <c:pt idx="9" formatCode="0.00">
                  <c:v>0.24880662534269438</c:v>
                </c:pt>
                <c:pt idx="10" formatCode="0.00">
                  <c:v>0.24874052082979786</c:v>
                </c:pt>
                <c:pt idx="11" formatCode="0.00">
                  <c:v>0.2493877007508046</c:v>
                </c:pt>
                <c:pt idx="12" formatCode="0.00">
                  <c:v>0.25046605856839815</c:v>
                </c:pt>
                <c:pt idx="13" formatCode="0.00">
                  <c:v>0.24361371243561997</c:v>
                </c:pt>
                <c:pt idx="14" formatCode="0.00">
                  <c:v>0.24616698113392466</c:v>
                </c:pt>
                <c:pt idx="15" formatCode="0.00">
                  <c:v>0.24798512728811881</c:v>
                </c:pt>
                <c:pt idx="16" formatCode="0.00">
                  <c:v>0.24524172175943709</c:v>
                </c:pt>
                <c:pt idx="17" formatCode="0.00">
                  <c:v>0.24560379712100783</c:v>
                </c:pt>
                <c:pt idx="18" formatCode="0.00">
                  <c:v>0.24479434731717462</c:v>
                </c:pt>
                <c:pt idx="19" formatCode="0.00">
                  <c:v>0.23956184374337167</c:v>
                </c:pt>
                <c:pt idx="20" formatCode="0.00">
                  <c:v>0.23950483439250525</c:v>
                </c:pt>
                <c:pt idx="21" formatCode="0.00">
                  <c:v>0.23614292431149078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Taxa de Rendimento (% a.a.)</c:v>
                  </c:pt>
                  <c:pt idx="18">
                    <c:v>Taxa de Rendimento (% a.a.)</c:v>
                  </c:pt>
                  <c:pt idx="19">
                    <c:v>Taxa de Rendimento (% a.a.)</c:v>
                  </c:pt>
                  <c:pt idx="20">
                    <c:v>Taxa de Rendimento (% a.a.)</c:v>
                  </c:pt>
                  <c:pt idx="21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D$7,GRAFICO!$F$7,GRAFICO!$H$7,GRAFICO!$J$7,GRAFICO!$L$7,GRAFICO!$N$7,GRAFICO!$P$7,GRAFICO!$R$7,GRAFICO!$T$7,GRAFICO!$V$7,GRAFICO!$X$7,GRAFICO!$Z$7,GRAFICO!$AB$7,GRAFICO!$AD$7,GRAFICO!$AF$7,GRAFICO!$AH$7,GRAFICO!$AJ$7,GRAFICO!$AL$7,GRAFICO!$AN$7,GRAFICO!$AP$7,GRAFICO!$AR$7,GRAFICO!$AT$7)</c:f>
              <c:numCache>
                <c:formatCode>m/d/yyyy</c:formatCode>
                <c:ptCount val="22"/>
                <c:pt idx="0" formatCode="General">
                  <c:v>0.25</c:v>
                </c:pt>
                <c:pt idx="1" formatCode="0.00">
                  <c:v>0.24952682055163874</c:v>
                </c:pt>
                <c:pt idx="2" formatCode="0.00">
                  <c:v>0.24867137929272118</c:v>
                </c:pt>
                <c:pt idx="3" formatCode="0.00">
                  <c:v>0.24781873222465564</c:v>
                </c:pt>
                <c:pt idx="4" formatCode="0.00">
                  <c:v>0.2473482365854324</c:v>
                </c:pt>
                <c:pt idx="5" formatCode="0.00">
                  <c:v>0.24725556664045298</c:v>
                </c:pt>
                <c:pt idx="6" formatCode="0.00">
                  <c:v>0.24527160486979319</c:v>
                </c:pt>
                <c:pt idx="7" formatCode="0.00">
                  <c:v>0.24443613706365483</c:v>
                </c:pt>
                <c:pt idx="8" formatCode="0.00">
                  <c:v>0.24584827750825125</c:v>
                </c:pt>
                <c:pt idx="9" formatCode="0.00">
                  <c:v>0.24428484495287314</c:v>
                </c:pt>
                <c:pt idx="10" formatCode="0.00">
                  <c:v>0.2442211210488876</c:v>
                </c:pt>
                <c:pt idx="11" formatCode="0.00">
                  <c:v>0.24485986006750585</c:v>
                </c:pt>
                <c:pt idx="12" formatCode="0.00">
                  <c:v>0.24592036452861396</c:v>
                </c:pt>
                <c:pt idx="13" formatCode="0.00">
                  <c:v>0.248118098462867</c:v>
                </c:pt>
                <c:pt idx="14" formatCode="0.00">
                  <c:v>0.24169624280267191</c:v>
                </c:pt>
                <c:pt idx="15" formatCode="0.00">
                  <c:v>0.24348552416080169</c:v>
                </c:pt>
                <c:pt idx="16" formatCode="0.00">
                  <c:v>0.24078982225923135</c:v>
                </c:pt>
                <c:pt idx="17" formatCode="0.00">
                  <c:v>0.24114608423104211</c:v>
                </c:pt>
                <c:pt idx="18" formatCode="0.00">
                  <c:v>0.24035278843712055</c:v>
                </c:pt>
                <c:pt idx="19" formatCode="0.00">
                  <c:v>0.23521024564692025</c:v>
                </c:pt>
                <c:pt idx="20" formatCode="0.00">
                  <c:v>0.23515528837698901</c:v>
                </c:pt>
                <c:pt idx="21" formatCode="0.00">
                  <c:v>0.23185077659284498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96032928"/>
        <c:axId val="-5960345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D$4,GRAFICO!$F$4,GRAFICO!$H$4,GRAFICO!$J$4,GRAFICO!$L$4,GRAFICO!$N$4,GRAFICO!$P$4,GRAFICO!$R$4,GRAFICO!$T$4,GRAFICO!$V$4,GRAFICO!$X$4,GRAFICO!$Z$4,GRAFICO!$AB$4,GRAFICO!$AD$4,GRAFICO!$AF$4,GRAFICO!$AH$4,GRAFICO!$AJ$4,GRAFICO!$AL$4,GRAFICO!$AN$4,GRAFICO!$AP$4,GRAFICO!$AR$4,GRAFICO!$AT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4.29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  <c:pt idx="17" formatCode="General">
                        <c:v>4.3499999999999996</c:v>
                      </c:pt>
                      <c:pt idx="18" formatCode="General">
                        <c:v>4.33</c:v>
                      </c:pt>
                      <c:pt idx="19" formatCode="General">
                        <c:v>4.1900000000000004</c:v>
                      </c:pt>
                      <c:pt idx="20" formatCode="General">
                        <c:v>4.1900000000000004</c:v>
                      </c:pt>
                      <c:pt idx="21" formatCode="General">
                        <c:v>4.0999999999999996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D$2:$D$3,GRAFICO!$F$2:$F$3,GRAFICO!$H$2:$H$3,GRAFICO!$J$2:$J$3,GRAFICO!$L$2:$L$3,GRAFICO!$N$2:$N$3,GRAFICO!$P$2:$P$3,GRAFICO!$R$2:$R$3,GRAFICO!$T$2:$T$3,GRAFICO!$V$2:$V$3,GRAFICO!$X$2:$X$3,GRAFICO!$Z$2:$Z$3,GRAFICO!$AB$2:$AB$3,GRAFICO!$AD$2:$AD$3,GRAFICO!$AF$2:$AF$3,GRAFICO!$AH$2:$AH$3,GRAFICO!$AJ$2:$AJ$3,GRAFICO!$AL$2:$AL$3,GRAFICO!$AN$2:$AN$3,GRAFICO!$AP$2:$AP$3,GRAFICO!$AR$2:$AR$3,GRAFICO!$AT$2:$AT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Taxa de Rendimento (% a.a.)</c:v>
                        </c:pt>
                        <c:pt idx="18">
                          <c:v>Taxa de Rendimento (% a.a.)</c:v>
                        </c:pt>
                        <c:pt idx="19">
                          <c:v>Taxa de Rendimento (% a.a.)</c:v>
                        </c:pt>
                        <c:pt idx="20">
                          <c:v>Taxa de Rendimento (% a.a.)</c:v>
                        </c:pt>
                        <c:pt idx="21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D$5,GRAFICO!$F$5,GRAFICO!$H$5,GRAFICO!$J$5,GRAFICO!$L$5,GRAFICO!$N$5,GRAFICO!$P$5,GRAFICO!$R$5,GRAFICO!$T$5,GRAFICO!$V$5,GRAFICO!$X$5,GRAFICO!$Z$5,GRAFICO!$AB$5,GRAFICO!$AD$5,GRAFICO!$AF$5,GRAFICO!$AH$5,GRAFICO!$AJ$5,GRAFICO!$AL$5,GRAFICO!$AN$5,GRAFICO!$AP$5,GRAFICO!$AR$5,GRAFICO!$AT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4.41</c:v>
                      </c:pt>
                      <c:pt idx="14" formatCode="General">
                        <c:v>4.24</c:v>
                      </c:pt>
                      <c:pt idx="15" formatCode="General">
                        <c:v>4.29</c:v>
                      </c:pt>
                      <c:pt idx="16" formatCode="General">
                        <c:v>4.22</c:v>
                      </c:pt>
                      <c:pt idx="17" formatCode="General">
                        <c:v>4.2300000000000004</c:v>
                      </c:pt>
                      <c:pt idx="18" formatCode="General">
                        <c:v>4.21</c:v>
                      </c:pt>
                      <c:pt idx="19" formatCode="General">
                        <c:v>4.07</c:v>
                      </c:pt>
                      <c:pt idx="20" formatCode="General">
                        <c:v>4.07</c:v>
                      </c:pt>
                      <c:pt idx="21" formatCode="General">
                        <c:v>3.98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96032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96034560"/>
        <c:crosses val="autoZero"/>
        <c:auto val="1"/>
        <c:lblAlgn val="ctr"/>
        <c:lblOffset val="100"/>
        <c:noMultiLvlLbl val="0"/>
      </c:catAx>
      <c:valAx>
        <c:axId val="-59603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96032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GRAFICO!$B$6:$AU$6</c15:sqref>
                  </c15:fullRef>
                </c:ext>
              </c:extLst>
              <c:f>(GRAFICO!$E$6,GRAFICO!$G$6,GRAFICO!$I$6,GRAFICO!$K$6,GRAFICO!$M$6,GRAFICO!$O$6,GRAFICO!$Q$6,GRAFICO!$S$6,GRAFICO!$U$6,GRAFICO!$W$6,GRAFICO!$Y$6,GRAFICO!$AA$6,GRAFICO!$AC$6,GRAFICO!$AE$6,GRAFICO!$AG$6,GRAFICO!$AI$6,GRAFICO!$AK$6,GRAFICO!$AM$6,GRAFICO!$AO$6,GRAFICO!$AQ$6,GRAFICO!$AS$6,GRAFICO!$AU$6)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5.0196230136986299E-2</c:v>
                </c:pt>
                <c:pt idx="1" formatCode="_(&quot;R$&quot;* #,##0.00_);_(&quot;R$&quot;* \(#,##0.00\);_(&quot;R$&quot;* &quot;-&quot;??_);_(@_)">
                  <c:v>0.10017230136986301</c:v>
                </c:pt>
                <c:pt idx="2" formatCode="_(&quot;R$&quot;* #,##0.00_);_(&quot;R$&quot;* \(#,##0.00\);_(&quot;R$&quot;* &quot;-&quot;??_);_(@_)">
                  <c:v>0.14992821369863013</c:v>
                </c:pt>
                <c:pt idx="3" formatCode="_(&quot;R$&quot;* #,##0.00_);_(&quot;R$&quot;* \(#,##0.00\);_(&quot;R$&quot;* &quot;-&quot;??_);_(@_)">
                  <c:v>0.19946396712328768</c:v>
                </c:pt>
                <c:pt idx="4" formatCode="_(&quot;R$&quot;* #,##0.00_);_(&quot;R$&quot;* \(#,##0.00\);_(&quot;R$&quot;* &quot;-&quot;??_);_(@_)">
                  <c:v>0.24888964109589043</c:v>
                </c:pt>
                <c:pt idx="5" formatCode="_(&quot;R$&quot;* #,##0.00_);_(&quot;R$&quot;* \(#,##0.00\);_(&quot;R$&quot;* &quot;-&quot;??_);_(@_)">
                  <c:v>0.29831531506849318</c:v>
                </c:pt>
                <c:pt idx="6" formatCode="_(&quot;R$&quot;* #,##0.00_);_(&quot;R$&quot;* \(#,##0.00\);_(&quot;R$&quot;* &quot;-&quot;??_);_(@_)">
                  <c:v>0.34719059178082196</c:v>
                </c:pt>
                <c:pt idx="7" formatCode="_(&quot;R$&quot;* #,##0.00_);_(&quot;R$&quot;* \(#,##0.00\);_(&quot;R$&quot;* &quot;-&quot;??_);_(@_)">
                  <c:v>0.39584570958904114</c:v>
                </c:pt>
                <c:pt idx="8" formatCode="_(&quot;R$&quot;* #,##0.00_);_(&quot;R$&quot;* \(#,##0.00\);_(&quot;R$&quot;* &quot;-&quot;??_);_(@_)">
                  <c:v>0.4449411452054795</c:v>
                </c:pt>
                <c:pt idx="9" formatCode="_(&quot;R$&quot;* #,##0.00_);_(&quot;R$&quot;* \(#,##0.00\);_(&quot;R$&quot;* &quot;-&quot;??_);_(@_)">
                  <c:v>0.49359626301369869</c:v>
                </c:pt>
                <c:pt idx="10" formatCode="_(&quot;R$&quot;* #,##0.00_);_(&quot;R$&quot;* \(#,##0.00\);_(&quot;R$&quot;* &quot;-&quot;??_);_(@_)">
                  <c:v>0.54225138082191782</c:v>
                </c:pt>
                <c:pt idx="11" formatCode="_(&quot;R$&quot;* #,##0.00_);_(&quot;R$&quot;* \(#,##0.00\);_(&quot;R$&quot;* &quot;-&quot;??_);_(@_)">
                  <c:v>0.59112665753424665</c:v>
                </c:pt>
                <c:pt idx="12" formatCode="_(&quot;R$&quot;* #,##0.00_);_(&quot;R$&quot;* \(#,##0.00\);_(&quot;R$&quot;* &quot;-&quot;??_);_(@_)">
                  <c:v>0.64033217260273978</c:v>
                </c:pt>
                <c:pt idx="13" formatCode="_(&quot;R$&quot;* #,##0.00_);_(&quot;R$&quot;* \(#,##0.00\);_(&quot;R$&quot;* &quot;-&quot;??_);_(@_)">
                  <c:v>0.68755625753424665</c:v>
                </c:pt>
                <c:pt idx="14" formatCode="_(&quot;R$&quot;* #,##0.00_);_(&quot;R$&quot;* \(#,##0.00\);_(&quot;R$&quot;* &quot;-&quot;??_);_(@_)">
                  <c:v>0.73555089863013712</c:v>
                </c:pt>
                <c:pt idx="15" formatCode="_(&quot;R$&quot;* #,##0.00_);_(&quot;R$&quot;* \(#,##0.00\);_(&quot;R$&quot;* &quot;-&quot;??_);_(@_)">
                  <c:v>0.78409593698630153</c:v>
                </c:pt>
                <c:pt idx="16" formatCode="_(&quot;R$&quot;* #,##0.00_);_(&quot;R$&quot;* \(#,##0.00\);_(&quot;R$&quot;* &quot;-&quot;??_);_(@_)">
                  <c:v>0.83187041917808235</c:v>
                </c:pt>
                <c:pt idx="17" formatCode="_(&quot;R$&quot;* #,##0.00_);_(&quot;R$&quot;* \(#,##0.00\);_(&quot;R$&quot;* &quot;-&quot;??_);_(@_)">
                  <c:v>0.87975498082191794</c:v>
                </c:pt>
                <c:pt idx="18" formatCode="_(&quot;R$&quot;* #,##0.00_);_(&quot;R$&quot;* \(#,##0.00\);_(&quot;R$&quot;* &quot;-&quot;??_);_(@_)">
                  <c:v>0.927419383561644</c:v>
                </c:pt>
                <c:pt idx="19" formatCode="_(&quot;R$&quot;* #,##0.00_);_(&quot;R$&quot;* \(#,##0.00\);_(&quot;R$&quot;* &quot;-&quot;??_);_(@_)">
                  <c:v>0.97354267397260286</c:v>
                </c:pt>
                <c:pt idx="20" formatCode="_(&quot;R$&quot;* #,##0.00_);_(&quot;R$&quot;* \(#,##0.00\);_(&quot;R$&quot;* &quot;-&quot;??_);_(@_)">
                  <c:v>1.0196659643835617</c:v>
                </c:pt>
                <c:pt idx="21" formatCode="_(&quot;R$&quot;* #,##0.00_);_(&quot;R$&quot;* \(#,##0.00\);_(&quot;R$&quot;* &quot;-&quot;??_);_(@_)">
                  <c:v>1.0647985397260276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GRAFICO!$B$2:$AU$3</c15:sqref>
                  </c15:fullRef>
                </c:ext>
              </c:extLst>
              <c: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:f>
              <c:multiLvlStrCache>
                <c:ptCount val="22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  <c:pt idx="17">
                    <c:v>27/mai</c:v>
                  </c:pt>
                  <c:pt idx="18">
                    <c:v>28/mai</c:v>
                  </c:pt>
                  <c:pt idx="19">
                    <c:v>29/mai</c:v>
                  </c:pt>
                  <c:pt idx="20">
                    <c:v>30/mai</c:v>
                  </c:pt>
                  <c:pt idx="21">
                    <c:v>31/mai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  <c:pt idx="17">
                    <c:v>Preço Unitário</c:v>
                  </c:pt>
                  <c:pt idx="18">
                    <c:v>Preço Unitário</c:v>
                  </c:pt>
                  <c:pt idx="19">
                    <c:v>Preço Unitário</c:v>
                  </c:pt>
                  <c:pt idx="20">
                    <c:v>Preço Unitário</c:v>
                  </c:pt>
                  <c:pt idx="21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GRAFICO!$B$7:$AU$7</c15:sqref>
                  </c15:fullRef>
                </c:ext>
              </c:extLst>
              <c:f>(GRAFICO!$E$7,GRAFICO!$G$7,GRAFICO!$I$7,GRAFICO!$K$7,GRAFICO!$M$7,GRAFICO!$O$7,GRAFICO!$Q$7,GRAFICO!$S$7,GRAFICO!$U$7,GRAFICO!$W$7,GRAFICO!$Y$7,GRAFICO!$AA$7,GRAFICO!$AC$7,GRAFICO!$AE$7,GRAFICO!$AG$7,GRAFICO!$AI$7,GRAFICO!$AK$7,GRAFICO!$AM$7,GRAFICO!$AO$7,GRAFICO!$AQ$7,GRAFICO!$AS$7,GRAFICO!$AU$7)</c:f>
              <c:numCache>
                <c:formatCode>m/d/yyyy</c:formatCode>
                <c:ptCount val="22"/>
                <c:pt idx="0" formatCode="_(&quot;R$&quot;* #,##0.00_);_(&quot;R$&quot;* \(#,##0.00\);_(&quot;R$&quot;* &quot;-&quot;??_);_(@_)">
                  <c:v>4.8875276712328775E-2</c:v>
                </c:pt>
                <c:pt idx="1" formatCode="_(&quot;R$&quot;* #,##0.00_);_(&quot;R$&quot;* \(#,##0.00\);_(&quot;R$&quot;* &quot;-&quot;??_);_(@_)">
                  <c:v>9.7530394520547958E-2</c:v>
                </c:pt>
                <c:pt idx="2" formatCode="_(&quot;R$&quot;* #,##0.00_);_(&quot;R$&quot;* \(#,##0.00\);_(&quot;R$&quot;* &quot;-&quot;??_);_(@_)">
                  <c:v>0.14596535342465755</c:v>
                </c:pt>
                <c:pt idx="3" formatCode="_(&quot;R$&quot;* #,##0.00_);_(&quot;R$&quot;* \(#,##0.00\);_(&quot;R$&quot;* &quot;-&quot;??_);_(@_)">
                  <c:v>0.19418015342465755</c:v>
                </c:pt>
                <c:pt idx="4" formatCode="_(&quot;R$&quot;* #,##0.00_);_(&quot;R$&quot;* \(#,##0.00\);_(&quot;R$&quot;* &quot;-&quot;??_);_(@_)">
                  <c:v>0.24228487397260276</c:v>
                </c:pt>
                <c:pt idx="5" formatCode="_(&quot;R$&quot;* #,##0.00_);_(&quot;R$&quot;* \(#,##0.00\);_(&quot;R$&quot;* &quot;-&quot;??_);_(@_)">
                  <c:v>0.29038959452054797</c:v>
                </c:pt>
                <c:pt idx="6" formatCode="_(&quot;R$&quot;* #,##0.00_);_(&quot;R$&quot;* \(#,##0.00\);_(&quot;R$&quot;* &quot;-&quot;??_);_(@_)">
                  <c:v>0.3379439178082192</c:v>
                </c:pt>
                <c:pt idx="7" formatCode="_(&quot;R$&quot;* #,##0.00_);_(&quot;R$&quot;* \(#,##0.00\);_(&quot;R$&quot;* &quot;-&quot;??_);_(@_)">
                  <c:v>0.38527808219178084</c:v>
                </c:pt>
                <c:pt idx="8" formatCode="_(&quot;R$&quot;* #,##0.00_);_(&quot;R$&quot;* \(#,##0.00\);_(&quot;R$&quot;* &quot;-&quot;??_);_(@_)">
                  <c:v>0.43305256438356166</c:v>
                </c:pt>
                <c:pt idx="9" formatCode="_(&quot;R$&quot;* #,##0.00_);_(&quot;R$&quot;* \(#,##0.00\);_(&quot;R$&quot;* &quot;-&quot;??_);_(@_)">
                  <c:v>0.48038672876712329</c:v>
                </c:pt>
                <c:pt idx="10" formatCode="_(&quot;R$&quot;* #,##0.00_);_(&quot;R$&quot;* \(#,##0.00\);_(&quot;R$&quot;* &quot;-&quot;??_);_(@_)">
                  <c:v>0.52772089315068493</c:v>
                </c:pt>
                <c:pt idx="11" formatCode="_(&quot;R$&quot;* #,##0.00_);_(&quot;R$&quot;* \(#,##0.00\);_(&quot;R$&quot;* &quot;-&quot;??_);_(@_)">
                  <c:v>0.57527521643835622</c:v>
                </c:pt>
                <c:pt idx="12" formatCode="_(&quot;R$&quot;* #,##0.00_);_(&quot;R$&quot;* \(#,##0.00\);_(&quot;R$&quot;* &quot;-&quot;??_);_(@_)">
                  <c:v>0.62315977808219181</c:v>
                </c:pt>
                <c:pt idx="13" formatCode="_(&quot;R$&quot;* #,##0.00_);_(&quot;R$&quot;* \(#,##0.00\);_(&quot;R$&quot;* &quot;-&quot;??_);_(@_)">
                  <c:v>0.67170481643835622</c:v>
                </c:pt>
                <c:pt idx="14" formatCode="_(&quot;R$&quot;* #,##0.00_);_(&quot;R$&quot;* \(#,##0.00\);_(&quot;R$&quot;* &quot;-&quot;??_);_(@_)">
                  <c:v>0.71837850410958914</c:v>
                </c:pt>
                <c:pt idx="15" formatCode="_(&quot;R$&quot;* #,##0.00_);_(&quot;R$&quot;* \(#,##0.00\);_(&quot;R$&quot;* &quot;-&quot;??_);_(@_)">
                  <c:v>0.76560258904109602</c:v>
                </c:pt>
                <c:pt idx="16" formatCode="_(&quot;R$&quot;* #,##0.00_);_(&quot;R$&quot;* \(#,##0.00\);_(&quot;R$&quot;* &quot;-&quot;??_);_(@_)">
                  <c:v>0.81205611780821929</c:v>
                </c:pt>
                <c:pt idx="17" formatCode="_(&quot;R$&quot;* #,##0.00_);_(&quot;R$&quot;* \(#,##0.00\);_(&quot;R$&quot;* &quot;-&quot;??_);_(@_)">
                  <c:v>0.85861972602739733</c:v>
                </c:pt>
                <c:pt idx="18" formatCode="_(&quot;R$&quot;* #,##0.00_);_(&quot;R$&quot;* \(#,##0.00\);_(&quot;R$&quot;* &quot;-&quot;??_);_(@_)">
                  <c:v>0.90496317534246584</c:v>
                </c:pt>
                <c:pt idx="19" formatCode="_(&quot;R$&quot;* #,##0.00_);_(&quot;R$&quot;* \(#,##0.00\);_(&quot;R$&quot;* &quot;-&quot;??_);_(@_)">
                  <c:v>0.94976551232876727</c:v>
                </c:pt>
                <c:pt idx="20" formatCode="_(&quot;R$&quot;* #,##0.00_);_(&quot;R$&quot;* \(#,##0.00\);_(&quot;R$&quot;* &quot;-&quot;??_);_(@_)">
                  <c:v>0.9945678493150687</c:v>
                </c:pt>
                <c:pt idx="21" formatCode="_(&quot;R$&quot;* #,##0.00_);_(&quot;R$&quot;* \(#,##0.00\);_(&quot;R$&quot;* &quot;-&quot;??_);_(@_)">
                  <c:v>1.0383794712328769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96038368"/>
        <c:axId val="-596037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GRAFICO!$B$4:$AU$4</c15:sqref>
                        </c15:fullRef>
                        <c15:formulaRef>
                          <c15:sqref>(GRAFICO!$E$4,GRAFICO!$G$4,GRAFICO!$I$4,GRAFICO!$K$4,GRAFICO!$M$4,GRAFICO!$O$4,GRAFICO!$Q$4,GRAFICO!$S$4,GRAFICO!$U$4,GRAFICO!$W$4,GRAFICO!$Y$4,GRAFICO!$AA$4,GRAFICO!$AC$4,GRAFICO!$AE$4,GRAFICO!$AG$4,GRAFICO!$AI$4,GRAFICO!$AK$4,GRAFICO!$AM$4,GRAFICO!$AO$4,GRAFICO!$AQ$4,GRAFICO!$AS$4,GRAFICO!$AU$4)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1577.93</c:v>
                      </c:pt>
                      <c:pt idx="1" formatCode="&quot;R$&quot;#,##0.00_);[Red]\(&quot;R$&quot;#,##0.00\)">
                        <c:v>1584</c:v>
                      </c:pt>
                      <c:pt idx="2" formatCode="&quot;R$&quot;#,##0.00_);[Red]\(&quot;R$&quot;#,##0.00\)">
                        <c:v>1589.46</c:v>
                      </c:pt>
                      <c:pt idx="3" formatCode="&quot;R$&quot;#,##0.00_);[Red]\(&quot;R$&quot;#,##0.00\)">
                        <c:v>1594.93</c:v>
                      </c:pt>
                      <c:pt idx="4" formatCode="&quot;R$&quot;#,##0.00_);[Red]\(&quot;R$&quot;#,##0.00\)">
                        <c:v>1597.97</c:v>
                      </c:pt>
                      <c:pt idx="5" formatCode="&quot;R$&quot;#,##0.00_);[Red]\(&quot;R$&quot;#,##0.00\)">
                        <c:v>1598.57</c:v>
                      </c:pt>
                      <c:pt idx="6" formatCode="&quot;R$&quot;#,##0.00_);[Red]\(&quot;R$&quot;#,##0.00\)">
                        <c:v>1611.49</c:v>
                      </c:pt>
                      <c:pt idx="7" formatCode="&quot;R$&quot;#,##0.00_);[Red]\(&quot;R$&quot;#,##0.00\)">
                        <c:v>1617.01</c:v>
                      </c:pt>
                      <c:pt idx="8" formatCode="&quot;R$&quot;#,##0.00_);[Red]\(&quot;R$&quot;#,##0.00\)">
                        <c:v>1607.74</c:v>
                      </c:pt>
                      <c:pt idx="9" formatCode="&quot;R$&quot;#,##0.00_);[Red]\(&quot;R$&quot;#,##0.00\)">
                        <c:v>1618.02</c:v>
                      </c:pt>
                      <c:pt idx="10" formatCode="&quot;R$&quot;#,##0.00_);[Red]\(&quot;R$&quot;#,##0.00\)">
                        <c:v>1618.45</c:v>
                      </c:pt>
                      <c:pt idx="11" formatCode="&quot;R$&quot;#,##0.00_);[Red]\(&quot;R$&quot;#,##0.00\)">
                        <c:v>1614.25</c:v>
                      </c:pt>
                      <c:pt idx="12" formatCode="&quot;R$&quot;#,##0.00_);[Red]\(&quot;R$&quot;#,##0.00\)">
                        <c:v>1607.3</c:v>
                      </c:pt>
                      <c:pt idx="13" formatCode="&quot;R$&quot;#,##0.00_);[Red]\(&quot;R$&quot;#,##0.00\)">
                        <c:v>1652.51</c:v>
                      </c:pt>
                      <c:pt idx="14" formatCode="&quot;R$&quot;#,##0.00_);[Red]\(&quot;R$&quot;#,##0.00\)">
                        <c:v>1635.37</c:v>
                      </c:pt>
                      <c:pt idx="15" formatCode="&quot;R$&quot;#,##0.00_);[Red]\(&quot;R$&quot;#,##0.00\)">
                        <c:v>1623.38</c:v>
                      </c:pt>
                      <c:pt idx="16" formatCode="&quot;R$&quot;#,##0.00_);[Red]\(&quot;R$&quot;#,##0.00\)">
                        <c:v>1641.54</c:v>
                      </c:pt>
                      <c:pt idx="17" formatCode="&quot;R$&quot;#,##0.00_);[Red]\(&quot;R$&quot;#,##0.00\)">
                        <c:v>1639.12</c:v>
                      </c:pt>
                      <c:pt idx="18" formatCode="&quot;R$&quot;#,##0.00_);[Red]\(&quot;R$&quot;#,##0.00\)">
                        <c:v>1644.54</c:v>
                      </c:pt>
                      <c:pt idx="19" formatCode="&quot;R$&quot;#,##0.00_);[Red]\(&quot;R$&quot;#,##0.00\)">
                        <c:v>1680.46</c:v>
                      </c:pt>
                      <c:pt idx="20" formatCode="&quot;R$&quot;#,##0.00_);[Red]\(&quot;R$&quot;#,##0.00\)">
                        <c:v>1680.86</c:v>
                      </c:pt>
                      <c:pt idx="21" formatCode="&quot;R$&quot;#,##0.00_);[Red]\(&quot;R$&quot;#,##0.00\)">
                        <c:v>1704.79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GRAFICO!$B$2:$AU$3</c15:sqref>
                        </c15:fullRef>
                        <c15:formulaRef>
                          <c15:sqref>(GRAFICO!$E$2:$E$3,GRAFICO!$G$2:$G$3,GRAFICO!$I$2:$I$3,GRAFICO!$K$2:$K$3,GRAFICO!$M$2:$M$3,GRAFICO!$O$2:$O$3,GRAFICO!$Q$2:$Q$3,GRAFICO!$S$2:$S$3,GRAFICO!$U$2:$U$3,GRAFICO!$W$2:$W$3,GRAFICO!$Y$2:$Y$3,GRAFICO!$AA$2:$AA$3,GRAFICO!$AC$2:$AC$3,GRAFICO!$AE$2:$AE$3,GRAFICO!$AG$2:$AG$3,GRAFICO!$AI$2:$AI$3,GRAFICO!$AK$2:$AK$3,GRAFICO!$AM$2:$AM$3,GRAFICO!$AO$2:$AO$3,GRAFICO!$AQ$2:$AQ$3,GRAFICO!$AS$2:$AS$3,GRAFICO!$AU$2:$AU$3)</c15:sqref>
                        </c15:formulaRef>
                      </c:ext>
                    </c:extLst>
                    <c:multiLvlStrCache>
                      <c:ptCount val="22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  <c:pt idx="17">
                          <c:v>27/mai</c:v>
                        </c:pt>
                        <c:pt idx="18">
                          <c:v>28/mai</c:v>
                        </c:pt>
                        <c:pt idx="19">
                          <c:v>29/mai</c:v>
                        </c:pt>
                        <c:pt idx="20">
                          <c:v>30/mai</c:v>
                        </c:pt>
                        <c:pt idx="21">
                          <c:v>31/mai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  <c:pt idx="17">
                          <c:v>Preço Unitário</c:v>
                        </c:pt>
                        <c:pt idx="18">
                          <c:v>Preço Unitário</c:v>
                        </c:pt>
                        <c:pt idx="19">
                          <c:v>Preço Unitário</c:v>
                        </c:pt>
                        <c:pt idx="20">
                          <c:v>Preço Unitário</c:v>
                        </c:pt>
                        <c:pt idx="21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GRAFICO!$B$5:$AU$5</c15:sqref>
                        </c15:fullRef>
                        <c15:formulaRef>
                          <c15:sqref>(GRAFICO!$E$5,GRAFICO!$G$5,GRAFICO!$I$5,GRAFICO!$K$5,GRAFICO!$M$5,GRAFICO!$O$5,GRAFICO!$Q$5,GRAFICO!$S$5,GRAFICO!$U$5,GRAFICO!$W$5,GRAFICO!$Y$5,GRAFICO!$AA$5,GRAFICO!$AC$5,GRAFICO!$AE$5,GRAFICO!$AG$5,GRAFICO!$AI$5,GRAFICO!$AK$5,GRAFICO!$AM$5,GRAFICO!$AO$5,GRAFICO!$AQ$5,GRAFICO!$AS$5,GRAFICO!$AU$5)</c15:sqref>
                        </c15:formulaRef>
                      </c:ext>
                    </c:extLst>
                    <c:numCache>
                      <c:formatCode>m/d/yyyy</c:formatCode>
                      <c:ptCount val="22"/>
                      <c:pt idx="0" formatCode="&quot;R$&quot;#,##0.00_);[Red]\(&quot;R$&quot;#,##0.00\)">
                        <c:v>1607.16</c:v>
                      </c:pt>
                      <c:pt idx="1" formatCode="&quot;R$&quot;#,##0.00_);[Red]\(&quot;R$&quot;#,##0.00\)">
                        <c:v>1613.35</c:v>
                      </c:pt>
                      <c:pt idx="2" formatCode="&quot;R$&quot;#,##0.00_);[Red]\(&quot;R$&quot;#,##0.00\)">
                        <c:v>1618.9</c:v>
                      </c:pt>
                      <c:pt idx="3" formatCode="&quot;R$&quot;#,##0.00_);[Red]\(&quot;R$&quot;#,##0.00\)">
                        <c:v>1624.47</c:v>
                      </c:pt>
                      <c:pt idx="4" formatCode="&quot;R$&quot;#,##0.00_);[Red]\(&quot;R$&quot;#,##0.00\)">
                        <c:v>1627.56</c:v>
                      </c:pt>
                      <c:pt idx="5" formatCode="&quot;R$&quot;#,##0.00_);[Red]\(&quot;R$&quot;#,##0.00\)">
                        <c:v>1628.17</c:v>
                      </c:pt>
                      <c:pt idx="6" formatCode="&quot;R$&quot;#,##0.00_);[Red]\(&quot;R$&quot;#,##0.00\)">
                        <c:v>1641.34</c:v>
                      </c:pt>
                      <c:pt idx="7" formatCode="&quot;R$&quot;#,##0.00_);[Red]\(&quot;R$&quot;#,##0.00\)">
                        <c:v>1646.95</c:v>
                      </c:pt>
                      <c:pt idx="8" formatCode="&quot;R$&quot;#,##0.00_);[Red]\(&quot;R$&quot;#,##0.00\)">
                        <c:v>1637.49</c:v>
                      </c:pt>
                      <c:pt idx="9" formatCode="&quot;R$&quot;#,##0.00_);[Red]\(&quot;R$&quot;#,##0.00\)">
                        <c:v>1647.97</c:v>
                      </c:pt>
                      <c:pt idx="10" formatCode="&quot;R$&quot;#,##0.00_);[Red]\(&quot;R$&quot;#,##0.00\)">
                        <c:v>1648.4</c:v>
                      </c:pt>
                      <c:pt idx="11" formatCode="&quot;R$&quot;#,##0.00_);[Red]\(&quot;R$&quot;#,##0.00\)">
                        <c:v>1644.1</c:v>
                      </c:pt>
                      <c:pt idx="12" formatCode="&quot;R$&quot;#,##0.00_);[Red]\(&quot;R$&quot;#,##0.00\)">
                        <c:v>1637.01</c:v>
                      </c:pt>
                      <c:pt idx="13" formatCode="&quot;R$&quot;#,##0.00_);[Red]\(&quot;R$&quot;#,##0.00\)">
                        <c:v>1622.51</c:v>
                      </c:pt>
                      <c:pt idx="14" formatCode="&quot;R$&quot;#,##0.00_);[Red]\(&quot;R$&quot;#,##0.00\)">
                        <c:v>1665.62</c:v>
                      </c:pt>
                      <c:pt idx="15" formatCode="&quot;R$&quot;#,##0.00_);[Red]\(&quot;R$&quot;#,##0.00\)">
                        <c:v>1653.38</c:v>
                      </c:pt>
                      <c:pt idx="16" formatCode="&quot;R$&quot;#,##0.00_);[Red]\(&quot;R$&quot;#,##0.00\)">
                        <c:v>1671.89</c:v>
                      </c:pt>
                      <c:pt idx="17" formatCode="&quot;R$&quot;#,##0.00_);[Red]\(&quot;R$&quot;#,##0.00\)">
                        <c:v>1669.42</c:v>
                      </c:pt>
                      <c:pt idx="18" formatCode="&quot;R$&quot;#,##0.00_);[Red]\(&quot;R$&quot;#,##0.00\)">
                        <c:v>1674.93</c:v>
                      </c:pt>
                      <c:pt idx="19" formatCode="&quot;R$&quot;#,##0.00_);[Red]\(&quot;R$&quot;#,##0.00\)">
                        <c:v>1711.55</c:v>
                      </c:pt>
                      <c:pt idx="20" formatCode="&quot;R$&quot;#,##0.00_);[Red]\(&quot;R$&quot;#,##0.00\)">
                        <c:v>1711.95</c:v>
                      </c:pt>
                      <c:pt idx="21" formatCode="&quot;R$&quot;#,##0.00_);[Red]\(&quot;R$&quot;#,##0.00\)">
                        <c:v>1736.35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96038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96037824"/>
        <c:crosses val="autoZero"/>
        <c:auto val="1"/>
        <c:lblAlgn val="ctr"/>
        <c:lblOffset val="100"/>
        <c:noMultiLvlLbl val="0"/>
      </c:catAx>
      <c:valAx>
        <c:axId val="-59603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96038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9</xdr:col>
      <xdr:colOff>1581150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9</xdr:col>
      <xdr:colOff>1581150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1924048</xdr:colOff>
      <xdr:row>8</xdr:row>
      <xdr:rowOff>4762</xdr:rowOff>
    </xdr:from>
    <xdr:to>
      <xdr:col>20</xdr:col>
      <xdr:colOff>809624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230519"/>
      <sheetName val="240519"/>
      <sheetName val="270519"/>
      <sheetName val="280519"/>
      <sheetName val="290519"/>
      <sheetName val="300519"/>
      <sheetName val="31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H9" sqref="H9"/>
    </sheetView>
  </sheetViews>
  <sheetFormatPr defaultRowHeight="15" x14ac:dyDescent="0.25"/>
  <cols>
    <col min="1" max="1" width="33.85546875" bestFit="1" customWidth="1"/>
    <col min="2" max="2" width="14.7109375" bestFit="1" customWidth="1"/>
    <col min="3" max="3" width="19" bestFit="1" customWidth="1"/>
    <col min="4" max="4" width="11.85546875" bestFit="1" customWidth="1"/>
    <col min="5" max="5" width="24.85546875" style="9" bestFit="1" customWidth="1"/>
    <col min="6" max="6" width="26.42578125" customWidth="1"/>
    <col min="7" max="7" width="23.140625" style="12" bestFit="1" customWidth="1"/>
    <col min="8" max="8" width="21.42578125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GRAFICO!AC4</f>
        <v>1607.3</v>
      </c>
    </row>
    <row r="6" spans="1:8" x14ac:dyDescent="0.25">
      <c r="A6" t="s">
        <v>19</v>
      </c>
      <c r="B6" t="s">
        <v>10</v>
      </c>
      <c r="C6" t="s">
        <v>20</v>
      </c>
      <c r="D6" t="s">
        <v>25</v>
      </c>
      <c r="E6" t="s">
        <v>21</v>
      </c>
      <c r="F6" t="s">
        <v>22</v>
      </c>
      <c r="G6" t="s">
        <v>23</v>
      </c>
      <c r="H6" t="s">
        <v>24</v>
      </c>
    </row>
    <row r="7" spans="1:8" x14ac:dyDescent="0.25">
      <c r="A7" t="s">
        <v>18</v>
      </c>
      <c r="B7" s="57">
        <v>49444</v>
      </c>
      <c r="C7">
        <v>2.11</v>
      </c>
      <c r="D7">
        <v>0.1</v>
      </c>
      <c r="E7">
        <v>11.17</v>
      </c>
      <c r="F7">
        <v>24.7</v>
      </c>
      <c r="G7">
        <v>4.1399999999999997</v>
      </c>
      <c r="H7">
        <v>4.26</v>
      </c>
    </row>
    <row r="8" spans="1:8" x14ac:dyDescent="0.25">
      <c r="C8" s="6">
        <f>((C2*C7)/100)+C2</f>
        <v>410.26776900000004</v>
      </c>
      <c r="D8" s="6">
        <f>((C2*D7)/100)+C2</f>
        <v>402.19179000000003</v>
      </c>
      <c r="E8" s="44">
        <f>((C2*E7)/100)+C2</f>
        <v>446.66994300000005</v>
      </c>
      <c r="F8" s="6">
        <f>((C2*F7)/100)+C2</f>
        <v>501.03213000000005</v>
      </c>
      <c r="G8" s="12">
        <f>E2-G7</f>
        <v>0.30000000000000071</v>
      </c>
      <c r="H8">
        <f>G2-H7</f>
        <v>0.29999999999999982</v>
      </c>
    </row>
    <row r="10" spans="1:8" x14ac:dyDescent="0.25">
      <c r="D10" s="45"/>
    </row>
    <row r="11" spans="1:8" x14ac:dyDescent="0.25">
      <c r="D11" s="12"/>
      <c r="E11" s="44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O11"/>
  <sheetViews>
    <sheetView tabSelected="1" topLeftCell="A16" workbookViewId="0">
      <selection activeCell="AV9" sqref="AV9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style="48" bestFit="1" customWidth="1"/>
    <col min="33" max="33" width="14.42578125" style="48" bestFit="1" customWidth="1"/>
    <col min="34" max="34" width="28.85546875" style="48" bestFit="1" customWidth="1"/>
    <col min="35" max="35" width="14.42578125" style="48" bestFit="1" customWidth="1"/>
    <col min="36" max="36" width="28.85546875" style="48" bestFit="1" customWidth="1"/>
    <col min="37" max="37" width="14.42578125" style="48" bestFit="1" customWidth="1"/>
    <col min="38" max="38" width="28.85546875" style="48" bestFit="1" customWidth="1"/>
    <col min="39" max="39" width="14.42578125" style="48" bestFit="1" customWidth="1"/>
    <col min="40" max="40" width="28.85546875" style="48" bestFit="1" customWidth="1"/>
    <col min="41" max="41" width="14.42578125" style="48" bestFit="1" customWidth="1"/>
    <col min="42" max="42" width="28.85546875" style="48" bestFit="1" customWidth="1"/>
    <col min="43" max="43" width="14.42578125" style="48" bestFit="1" customWidth="1"/>
    <col min="44" max="44" width="28.85546875" style="48" bestFit="1" customWidth="1"/>
    <col min="45" max="45" width="14.42578125" style="48" bestFit="1" customWidth="1"/>
    <col min="46" max="46" width="28.85546875" style="48" bestFit="1" customWidth="1"/>
    <col min="47" max="47" width="14.42578125" style="48" bestFit="1" customWidth="1"/>
    <col min="48" max="119" width="9.140625" style="48"/>
  </cols>
  <sheetData>
    <row r="2" spans="1:119" s="19" customFormat="1" ht="15.75" customHeight="1" x14ac:dyDescent="0.25">
      <c r="B2" s="20" t="s">
        <v>9</v>
      </c>
      <c r="C2" s="21" t="s">
        <v>10</v>
      </c>
      <c r="D2" s="21" t="s">
        <v>11</v>
      </c>
      <c r="E2" s="21" t="s">
        <v>12</v>
      </c>
      <c r="F2" s="21" t="s">
        <v>11</v>
      </c>
      <c r="G2" s="21" t="s">
        <v>12</v>
      </c>
      <c r="H2" s="21" t="s">
        <v>11</v>
      </c>
      <c r="I2" s="21" t="s">
        <v>12</v>
      </c>
      <c r="J2" s="21" t="s">
        <v>11</v>
      </c>
      <c r="K2" s="21" t="s">
        <v>12</v>
      </c>
      <c r="L2" s="22" t="s">
        <v>11</v>
      </c>
      <c r="M2" s="22" t="s">
        <v>12</v>
      </c>
      <c r="N2" s="22" t="s">
        <v>11</v>
      </c>
      <c r="O2" s="22" t="s">
        <v>12</v>
      </c>
      <c r="P2" s="22" t="s">
        <v>11</v>
      </c>
      <c r="Q2" s="22" t="s">
        <v>12</v>
      </c>
      <c r="R2" s="22" t="s">
        <v>11</v>
      </c>
      <c r="S2" s="22" t="s">
        <v>12</v>
      </c>
      <c r="T2" s="22" t="s">
        <v>11</v>
      </c>
      <c r="U2" s="22" t="s">
        <v>12</v>
      </c>
      <c r="V2" s="22" t="s">
        <v>11</v>
      </c>
      <c r="W2" s="22" t="s">
        <v>12</v>
      </c>
      <c r="X2" s="22" t="s">
        <v>11</v>
      </c>
      <c r="Y2" s="22" t="s">
        <v>12</v>
      </c>
      <c r="Z2" s="22" t="s">
        <v>11</v>
      </c>
      <c r="AA2" s="22" t="s">
        <v>12</v>
      </c>
      <c r="AB2" s="22" t="s">
        <v>11</v>
      </c>
      <c r="AC2" s="22" t="s">
        <v>12</v>
      </c>
      <c r="AD2" s="22" t="s">
        <v>11</v>
      </c>
      <c r="AE2" s="53" t="s">
        <v>12</v>
      </c>
      <c r="AF2" s="22" t="s">
        <v>11</v>
      </c>
      <c r="AG2" s="53" t="s">
        <v>12</v>
      </c>
      <c r="AH2" s="22" t="s">
        <v>11</v>
      </c>
      <c r="AI2" s="53" t="s">
        <v>12</v>
      </c>
      <c r="AJ2" s="22" t="s">
        <v>11</v>
      </c>
      <c r="AK2" s="22" t="s">
        <v>12</v>
      </c>
      <c r="AL2" s="22" t="s">
        <v>11</v>
      </c>
      <c r="AM2" s="22" t="s">
        <v>12</v>
      </c>
      <c r="AN2" s="22" t="s">
        <v>11</v>
      </c>
      <c r="AO2" s="22" t="s">
        <v>12</v>
      </c>
      <c r="AP2" s="22" t="s">
        <v>11</v>
      </c>
      <c r="AQ2" s="22" t="s">
        <v>12</v>
      </c>
      <c r="AR2" s="22" t="s">
        <v>11</v>
      </c>
      <c r="AS2" s="22" t="s">
        <v>12</v>
      </c>
      <c r="AT2" s="22" t="s">
        <v>11</v>
      </c>
      <c r="AU2" s="22" t="s">
        <v>12</v>
      </c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</row>
    <row r="3" spans="1:119" s="19" customFormat="1" ht="15.75" customHeight="1" x14ac:dyDescent="0.25">
      <c r="B3" s="33" t="s">
        <v>13</v>
      </c>
      <c r="C3" s="34"/>
      <c r="D3" s="23">
        <v>43587</v>
      </c>
      <c r="E3" s="24">
        <v>43587</v>
      </c>
      <c r="F3" s="25">
        <v>43588</v>
      </c>
      <c r="G3" s="24">
        <v>43588</v>
      </c>
      <c r="H3" s="25">
        <v>43591</v>
      </c>
      <c r="I3" s="23">
        <v>43591</v>
      </c>
      <c r="J3" s="26">
        <v>43592</v>
      </c>
      <c r="K3" s="27">
        <v>43592</v>
      </c>
      <c r="L3" s="28">
        <v>43593</v>
      </c>
      <c r="M3" s="29">
        <v>43593</v>
      </c>
      <c r="N3" s="28">
        <v>43594</v>
      </c>
      <c r="O3" s="29">
        <v>43594</v>
      </c>
      <c r="P3" s="28">
        <v>43595</v>
      </c>
      <c r="Q3" s="29">
        <v>43595</v>
      </c>
      <c r="R3" s="28">
        <v>43598</v>
      </c>
      <c r="S3" s="29">
        <v>43598</v>
      </c>
      <c r="T3" s="28">
        <v>43599</v>
      </c>
      <c r="U3" s="29">
        <v>43599</v>
      </c>
      <c r="V3" s="28">
        <v>43600</v>
      </c>
      <c r="W3" s="29">
        <v>43600</v>
      </c>
      <c r="X3" s="28">
        <v>43601</v>
      </c>
      <c r="Y3" s="29">
        <v>43601</v>
      </c>
      <c r="Z3" s="28">
        <v>43602</v>
      </c>
      <c r="AA3" s="29">
        <v>43602</v>
      </c>
      <c r="AB3" s="28">
        <v>43605</v>
      </c>
      <c r="AC3" s="30">
        <v>43605</v>
      </c>
      <c r="AD3" s="28">
        <v>43606</v>
      </c>
      <c r="AE3" s="29">
        <v>43606</v>
      </c>
      <c r="AF3" s="28">
        <v>43607</v>
      </c>
      <c r="AG3" s="29">
        <v>43607</v>
      </c>
      <c r="AH3" s="28">
        <v>43608</v>
      </c>
      <c r="AI3" s="29">
        <v>43608</v>
      </c>
      <c r="AJ3" s="28">
        <v>43609</v>
      </c>
      <c r="AK3" s="29">
        <v>43609</v>
      </c>
      <c r="AL3" s="28">
        <v>43612</v>
      </c>
      <c r="AM3" s="29">
        <v>43612</v>
      </c>
      <c r="AN3" s="28">
        <v>43613</v>
      </c>
      <c r="AO3" s="29">
        <v>43613</v>
      </c>
      <c r="AP3" s="28">
        <v>43614</v>
      </c>
      <c r="AQ3" s="29">
        <v>43614</v>
      </c>
      <c r="AR3" s="28">
        <v>43615</v>
      </c>
      <c r="AS3" s="29">
        <v>43615</v>
      </c>
      <c r="AT3" s="28">
        <v>43616</v>
      </c>
      <c r="AU3" s="29">
        <v>43616</v>
      </c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47"/>
      <c r="BK3" s="47"/>
      <c r="BL3" s="47"/>
      <c r="BM3" s="47"/>
      <c r="BN3" s="47"/>
      <c r="BO3" s="47"/>
      <c r="BP3" s="47"/>
      <c r="BQ3" s="47"/>
      <c r="BR3" s="47"/>
      <c r="BS3" s="47"/>
      <c r="BT3" s="47"/>
      <c r="BU3" s="47"/>
      <c r="BV3" s="47"/>
      <c r="BW3" s="47"/>
      <c r="BX3" s="47"/>
      <c r="BY3" s="47"/>
      <c r="BZ3" s="47"/>
      <c r="CA3" s="47"/>
      <c r="CB3" s="47"/>
      <c r="CC3" s="47"/>
      <c r="CD3" s="47"/>
      <c r="CE3" s="47"/>
      <c r="CF3" s="47"/>
      <c r="CG3" s="47"/>
      <c r="CH3" s="47"/>
      <c r="CI3" s="47"/>
      <c r="CJ3" s="47"/>
      <c r="CK3" s="47"/>
      <c r="CL3" s="47"/>
      <c r="CM3" s="47"/>
      <c r="CN3" s="47"/>
      <c r="CO3" s="47"/>
      <c r="CP3" s="47"/>
      <c r="CQ3" s="47"/>
      <c r="CR3" s="47"/>
      <c r="CS3" s="47"/>
      <c r="CT3" s="47"/>
      <c r="CU3" s="47"/>
      <c r="CV3" s="47"/>
      <c r="CW3" s="47"/>
      <c r="CX3" s="47"/>
      <c r="CY3" s="47"/>
      <c r="CZ3" s="47"/>
      <c r="DA3" s="47"/>
      <c r="DB3" s="47"/>
      <c r="DC3" s="47"/>
      <c r="DD3" s="47"/>
      <c r="DE3" s="47"/>
      <c r="DF3" s="47"/>
      <c r="DG3" s="47"/>
      <c r="DH3" s="47"/>
      <c r="DI3" s="47"/>
      <c r="DJ3" s="47"/>
      <c r="DK3" s="47"/>
      <c r="DL3" s="47"/>
      <c r="DM3" s="47"/>
      <c r="DN3" s="47"/>
      <c r="DO3" s="47"/>
    </row>
    <row r="4" spans="1:119" s="42" customFormat="1" ht="16.5" customHeight="1" x14ac:dyDescent="0.25">
      <c r="A4" s="43" t="s">
        <v>14</v>
      </c>
      <c r="B4" s="35" t="s">
        <v>8</v>
      </c>
      <c r="C4" s="36">
        <v>49444</v>
      </c>
      <c r="D4" s="37">
        <v>4.5599999999999996</v>
      </c>
      <c r="E4" s="38">
        <v>1577.93</v>
      </c>
      <c r="F4" s="37">
        <v>4.54</v>
      </c>
      <c r="G4" s="38">
        <v>1584</v>
      </c>
      <c r="H4" s="37">
        <v>4.5199999999999996</v>
      </c>
      <c r="I4" s="38">
        <v>1589.46</v>
      </c>
      <c r="J4" s="39">
        <v>4.5</v>
      </c>
      <c r="K4" s="40">
        <v>1594.93</v>
      </c>
      <c r="L4" s="39">
        <v>4.49</v>
      </c>
      <c r="M4" s="40">
        <v>1597.97</v>
      </c>
      <c r="N4" s="39">
        <v>4.49</v>
      </c>
      <c r="O4" s="40">
        <v>1598.57</v>
      </c>
      <c r="P4" s="39">
        <v>4.4400000000000004</v>
      </c>
      <c r="Q4" s="40">
        <v>1611.49</v>
      </c>
      <c r="R4" s="39">
        <v>4.42</v>
      </c>
      <c r="S4" s="40">
        <v>1617.01</v>
      </c>
      <c r="T4" s="39">
        <v>4.46</v>
      </c>
      <c r="U4" s="40">
        <v>1607.74</v>
      </c>
      <c r="V4" s="39">
        <v>4.42</v>
      </c>
      <c r="W4" s="40">
        <v>1618.02</v>
      </c>
      <c r="X4" s="39">
        <v>4.42</v>
      </c>
      <c r="Y4" s="40">
        <v>1618.45</v>
      </c>
      <c r="Z4" s="39">
        <v>4.4400000000000004</v>
      </c>
      <c r="AA4" s="41">
        <v>1614.25</v>
      </c>
      <c r="AB4" s="39">
        <v>4.47</v>
      </c>
      <c r="AC4" s="40">
        <v>1607.3</v>
      </c>
      <c r="AD4" s="39">
        <v>4.29</v>
      </c>
      <c r="AE4" s="40">
        <v>1652.51</v>
      </c>
      <c r="AF4" s="39">
        <v>4.3600000000000003</v>
      </c>
      <c r="AG4" s="40">
        <v>1635.37</v>
      </c>
      <c r="AH4" s="39">
        <v>4.41</v>
      </c>
      <c r="AI4" s="40">
        <v>1623.38</v>
      </c>
      <c r="AJ4" s="39">
        <v>4.34</v>
      </c>
      <c r="AK4" s="40">
        <v>1641.54</v>
      </c>
      <c r="AL4" s="39">
        <v>4.3499999999999996</v>
      </c>
      <c r="AM4" s="40">
        <v>1639.12</v>
      </c>
      <c r="AN4" s="39">
        <v>4.33</v>
      </c>
      <c r="AO4" s="41">
        <v>1644.54</v>
      </c>
      <c r="AP4" s="39">
        <v>4.1900000000000004</v>
      </c>
      <c r="AQ4" s="40">
        <v>1680.46</v>
      </c>
      <c r="AR4" s="39">
        <v>4.1900000000000004</v>
      </c>
      <c r="AS4" s="40">
        <v>1680.86</v>
      </c>
      <c r="AT4" s="39">
        <v>4.0999999999999996</v>
      </c>
      <c r="AU4" s="40">
        <v>1704.79</v>
      </c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47"/>
      <c r="BK4" s="47"/>
      <c r="BL4" s="47"/>
      <c r="BM4" s="47"/>
      <c r="BN4" s="47"/>
      <c r="BO4" s="47"/>
      <c r="BP4" s="47"/>
      <c r="BQ4" s="47"/>
      <c r="BR4" s="47"/>
      <c r="BS4" s="47"/>
      <c r="BT4" s="47"/>
      <c r="BU4" s="47"/>
      <c r="BV4" s="47"/>
      <c r="BW4" s="47"/>
      <c r="BX4" s="47"/>
      <c r="BY4" s="47"/>
      <c r="BZ4" s="47"/>
      <c r="CA4" s="47"/>
      <c r="CB4" s="47"/>
      <c r="CC4" s="47"/>
      <c r="CD4" s="47"/>
      <c r="CE4" s="47"/>
      <c r="CF4" s="47"/>
      <c r="CG4" s="47"/>
      <c r="CH4" s="47"/>
      <c r="CI4" s="47"/>
      <c r="CJ4" s="47"/>
      <c r="CK4" s="47"/>
      <c r="CL4" s="47"/>
      <c r="CM4" s="47"/>
      <c r="CN4" s="47"/>
      <c r="CO4" s="47"/>
      <c r="CP4" s="47"/>
      <c r="CQ4" s="47"/>
      <c r="CR4" s="47"/>
      <c r="CS4" s="47"/>
      <c r="CT4" s="47"/>
      <c r="CU4" s="47"/>
      <c r="CV4" s="47"/>
      <c r="CW4" s="47"/>
      <c r="CX4" s="47"/>
      <c r="CY4" s="47"/>
      <c r="CZ4" s="47"/>
      <c r="DA4" s="47"/>
      <c r="DB4" s="47"/>
      <c r="DC4" s="47"/>
      <c r="DD4" s="47"/>
      <c r="DE4" s="47"/>
      <c r="DF4" s="47"/>
      <c r="DG4" s="47"/>
      <c r="DH4" s="47"/>
      <c r="DI4" s="47"/>
      <c r="DJ4" s="47"/>
      <c r="DK4" s="47"/>
      <c r="DL4" s="47"/>
      <c r="DM4" s="47"/>
      <c r="DN4" s="47"/>
      <c r="DO4" s="47"/>
    </row>
    <row r="5" spans="1:119" s="47" customFormat="1" ht="15.75" customHeight="1" x14ac:dyDescent="0.25">
      <c r="A5" s="32" t="s">
        <v>15</v>
      </c>
      <c r="B5" s="31" t="s">
        <v>8</v>
      </c>
      <c r="C5" s="13">
        <v>49444</v>
      </c>
      <c r="D5" s="14">
        <v>4.4400000000000004</v>
      </c>
      <c r="E5" s="15">
        <v>1607.16</v>
      </c>
      <c r="F5" s="16">
        <v>4.42</v>
      </c>
      <c r="G5" s="15">
        <v>1613.35</v>
      </c>
      <c r="H5" s="14">
        <v>4.4000000000000004</v>
      </c>
      <c r="I5" s="15">
        <v>1618.9</v>
      </c>
      <c r="J5" s="17">
        <v>4.38</v>
      </c>
      <c r="K5" s="18">
        <v>1624.47</v>
      </c>
      <c r="L5" s="17">
        <v>4.37</v>
      </c>
      <c r="M5" s="18">
        <v>1627.56</v>
      </c>
      <c r="N5" s="17">
        <v>4.37</v>
      </c>
      <c r="O5" s="18">
        <v>1628.17</v>
      </c>
      <c r="P5" s="17">
        <v>4.32</v>
      </c>
      <c r="Q5" s="18">
        <v>1641.34</v>
      </c>
      <c r="R5" s="17">
        <v>4.3</v>
      </c>
      <c r="S5" s="18">
        <v>1646.95</v>
      </c>
      <c r="T5" s="17">
        <v>4.34</v>
      </c>
      <c r="U5" s="18">
        <v>1637.49</v>
      </c>
      <c r="V5" s="17">
        <v>4.3</v>
      </c>
      <c r="W5" s="18">
        <v>1647.97</v>
      </c>
      <c r="X5" s="17">
        <v>4.3</v>
      </c>
      <c r="Y5" s="18">
        <v>1648.4</v>
      </c>
      <c r="Z5" s="17">
        <v>4.32</v>
      </c>
      <c r="AA5" s="18">
        <v>1644.1</v>
      </c>
      <c r="AB5" s="17">
        <v>4.3499999999999996</v>
      </c>
      <c r="AC5" s="18">
        <v>1637.01</v>
      </c>
      <c r="AD5" s="51">
        <v>4.41</v>
      </c>
      <c r="AE5" s="52">
        <v>1622.51</v>
      </c>
      <c r="AF5" s="51">
        <v>4.24</v>
      </c>
      <c r="AG5" s="52">
        <v>1665.62</v>
      </c>
      <c r="AH5" s="51">
        <v>4.29</v>
      </c>
      <c r="AI5" s="18">
        <v>1653.38</v>
      </c>
      <c r="AJ5" s="51">
        <v>4.22</v>
      </c>
      <c r="AK5" s="52">
        <v>1671.89</v>
      </c>
      <c r="AL5" s="51">
        <v>4.2300000000000004</v>
      </c>
      <c r="AM5" s="52">
        <v>1669.42</v>
      </c>
      <c r="AN5" s="51">
        <v>4.21</v>
      </c>
      <c r="AO5" s="58">
        <v>1674.93</v>
      </c>
      <c r="AP5" s="51">
        <v>4.07</v>
      </c>
      <c r="AQ5" s="52">
        <v>1711.55</v>
      </c>
      <c r="AR5" s="51">
        <v>4.07</v>
      </c>
      <c r="AS5" s="52">
        <v>1711.95</v>
      </c>
      <c r="AT5" s="51">
        <v>3.98</v>
      </c>
      <c r="AU5" s="52">
        <v>1736.35</v>
      </c>
    </row>
    <row r="6" spans="1:119" s="48" customFormat="1" x14ac:dyDescent="0.25">
      <c r="A6" s="46" t="s">
        <v>16</v>
      </c>
      <c r="B6" s="49">
        <f>B7+AI6</f>
        <v>402.57409593698634</v>
      </c>
      <c r="C6" s="50">
        <v>43587</v>
      </c>
      <c r="D6" s="56">
        <f>$B$6/E4</f>
        <v>0.25512798155620736</v>
      </c>
      <c r="E6" s="54">
        <f>(((D4/365)*$B$7)/100)</f>
        <v>5.0196230136986299E-2</v>
      </c>
      <c r="F6" s="56">
        <f>$B$6/G4</f>
        <v>0.2541503130915318</v>
      </c>
      <c r="G6" s="54">
        <f>(((F4/365)*$B$7)/100)+E6</f>
        <v>0.10017230136986301</v>
      </c>
      <c r="H6" s="56">
        <f t="shared" ref="H6" si="0">$B$6/I4</f>
        <v>0.25327727400311195</v>
      </c>
      <c r="I6" s="54">
        <f t="shared" ref="I6:I7" si="1">(((H4/365)*$B$7)/100)+G6</f>
        <v>0.14992821369863013</v>
      </c>
      <c r="J6" s="56">
        <f t="shared" ref="J6" si="2">$B$6/K4</f>
        <v>0.25240862980631523</v>
      </c>
      <c r="K6" s="54">
        <f t="shared" ref="K6:K7" si="3">(((J4/365)*$B$7)/100)+I6</f>
        <v>0.19946396712328768</v>
      </c>
      <c r="L6" s="56">
        <f t="shared" ref="L6" si="4">$B$6/M4</f>
        <v>0.25192844417416244</v>
      </c>
      <c r="M6" s="54">
        <f t="shared" ref="M6:M7" si="5">(((L4/365)*$B$7)/100)+K6</f>
        <v>0.24888964109589043</v>
      </c>
      <c r="N6" s="56">
        <f t="shared" ref="N6" si="6">$B$6/O4</f>
        <v>0.25183388649667288</v>
      </c>
      <c r="O6" s="54">
        <f t="shared" ref="O6:O7" si="7">(((N4/365)*$B$7)/100)+M6</f>
        <v>0.29831531506849318</v>
      </c>
      <c r="P6" s="56">
        <f t="shared" ref="P6" si="8">$B$6/Q4</f>
        <v>0.24981482723255269</v>
      </c>
      <c r="Q6" s="54">
        <f t="shared" ref="Q6:Q7" si="9">(((P4/365)*$B$7)/100)+O6</f>
        <v>0.34719059178082196</v>
      </c>
      <c r="R6" s="56">
        <f t="shared" ref="R6" si="10">$B$6/S4</f>
        <v>0.2489620323541514</v>
      </c>
      <c r="S6" s="54">
        <f t="shared" ref="S6:S7" si="11">(((R4/365)*$B$7)/100)+Q6</f>
        <v>0.39584570958904114</v>
      </c>
      <c r="T6" s="56">
        <f t="shared" ref="T6" si="12">$B$6/U4</f>
        <v>0.2503975119963342</v>
      </c>
      <c r="U6" s="54">
        <f t="shared" ref="U6:U7" si="13">(((T4/365)*$B$7)/100)+S6</f>
        <v>0.4449411452054795</v>
      </c>
      <c r="V6" s="56">
        <f t="shared" ref="V6" si="14">$B$6/W4</f>
        <v>0.24880662534269438</v>
      </c>
      <c r="W6" s="54">
        <f t="shared" ref="W6:W7" si="15">(((V4/365)*$B$7)/100)+U6</f>
        <v>0.49359626301369869</v>
      </c>
      <c r="X6" s="56">
        <f t="shared" ref="X6" si="16">$B$6/Y4</f>
        <v>0.24874052082979786</v>
      </c>
      <c r="Y6" s="54">
        <f t="shared" ref="Y6:Y7" si="17">(((X4/365)*$B$7)/100)+W6</f>
        <v>0.54225138082191782</v>
      </c>
      <c r="Z6" s="56">
        <f t="shared" ref="Z6" si="18">$B$6/AA4</f>
        <v>0.2493877007508046</v>
      </c>
      <c r="AA6" s="54">
        <f t="shared" ref="AA6:AA7" si="19">(((Z4/365)*$B$7)/100)+Y6</f>
        <v>0.59112665753424665</v>
      </c>
      <c r="AB6" s="56">
        <f t="shared" ref="AB6" si="20">$B$6/AC4</f>
        <v>0.25046605856839815</v>
      </c>
      <c r="AC6" s="54">
        <f t="shared" ref="AC6:AC7" si="21">(((AB4/365)*$B$7)/100)+AA6</f>
        <v>0.64033217260273978</v>
      </c>
      <c r="AD6" s="56">
        <f t="shared" ref="AD6" si="22">$B$6/AE4</f>
        <v>0.24361371243561997</v>
      </c>
      <c r="AE6" s="54">
        <f t="shared" ref="AE6:AE7" si="23">(((AD4/365)*$B$7)/100)+AC6</f>
        <v>0.68755625753424665</v>
      </c>
      <c r="AF6" s="56">
        <f t="shared" ref="AF6" si="24">$B$6/AG4</f>
        <v>0.24616698113392466</v>
      </c>
      <c r="AG6" s="54">
        <f t="shared" ref="AG6:AG7" si="25">(((AF4/365)*$B$7)/100)+AE6</f>
        <v>0.73555089863013712</v>
      </c>
      <c r="AH6" s="56">
        <f>$B$6/AI4</f>
        <v>0.24798512728811881</v>
      </c>
      <c r="AI6" s="54">
        <f t="shared" ref="AI6:AI7" si="26">(((AH4/365)*$B$7)/100)+AG6</f>
        <v>0.78409593698630153</v>
      </c>
      <c r="AJ6" s="56">
        <f>$B$6/AK4</f>
        <v>0.24524172175943709</v>
      </c>
      <c r="AK6" s="54">
        <f t="shared" ref="AK6:AK7" si="27">(((AJ4/365)*$B$7)/100)+AI6</f>
        <v>0.83187041917808235</v>
      </c>
      <c r="AL6" s="56">
        <f>$B$6/AM4</f>
        <v>0.24560379712100783</v>
      </c>
      <c r="AM6" s="54">
        <f t="shared" ref="AM6:AM7" si="28">(((AL4/365)*$B$7)/100)+AK6</f>
        <v>0.87975498082191794</v>
      </c>
      <c r="AN6" s="56">
        <f>$B$6/AO4</f>
        <v>0.24479434731717462</v>
      </c>
      <c r="AO6" s="54">
        <f t="shared" ref="AO6:AO7" si="29">(((AN4/365)*$B$7)/100)+AM6</f>
        <v>0.927419383561644</v>
      </c>
      <c r="AP6" s="56">
        <f>$B$6/AQ4</f>
        <v>0.23956184374337167</v>
      </c>
      <c r="AQ6" s="54">
        <f t="shared" ref="AQ6:AQ7" si="30">(((AP4/365)*$B$7)/100)+AO6</f>
        <v>0.97354267397260286</v>
      </c>
      <c r="AR6" s="56">
        <f>$B$6/AS4</f>
        <v>0.23950483439250525</v>
      </c>
      <c r="AS6" s="54">
        <f t="shared" ref="AS6:AS7" si="31">(((AR4/365)*$B$7)/100)+AQ6</f>
        <v>1.0196659643835617</v>
      </c>
      <c r="AT6" s="56">
        <f>$B$6/AU4</f>
        <v>0.23614292431149078</v>
      </c>
      <c r="AU6" s="54">
        <f t="shared" ref="AU6:AU7" si="32">(((AT4/365)*$B$7)/100)+AS6</f>
        <v>1.0647985397260276</v>
      </c>
      <c r="AV6" s="59">
        <f>AU6-E6</f>
        <v>1.0146023095890413</v>
      </c>
    </row>
    <row r="7" spans="1:119" x14ac:dyDescent="0.25">
      <c r="A7" s="46" t="s">
        <v>17</v>
      </c>
      <c r="B7" s="49">
        <f>'020519'!C2</f>
        <v>401.79</v>
      </c>
      <c r="C7" s="50">
        <v>43587</v>
      </c>
      <c r="D7" s="55">
        <f>$B$7/E5</f>
        <v>0.25</v>
      </c>
      <c r="E7" s="54">
        <f>(((D5/365)*$B$7)/100)</f>
        <v>4.8875276712328775E-2</v>
      </c>
      <c r="F7" s="56">
        <f>$B$6/G5</f>
        <v>0.24952682055163874</v>
      </c>
      <c r="G7" s="54">
        <f>(((F5/365)*$B$7)/100)+E7</f>
        <v>9.7530394520547958E-2</v>
      </c>
      <c r="H7" s="56">
        <f t="shared" ref="H7" si="33">$B$6/I5</f>
        <v>0.24867137929272118</v>
      </c>
      <c r="I7" s="54">
        <f t="shared" si="1"/>
        <v>0.14596535342465755</v>
      </c>
      <c r="J7" s="56">
        <f t="shared" ref="J7" si="34">$B$6/K5</f>
        <v>0.24781873222465564</v>
      </c>
      <c r="K7" s="54">
        <f t="shared" si="3"/>
        <v>0.19418015342465755</v>
      </c>
      <c r="L7" s="56">
        <f t="shared" ref="L7" si="35">$B$6/M5</f>
        <v>0.2473482365854324</v>
      </c>
      <c r="M7" s="54">
        <f t="shared" si="5"/>
        <v>0.24228487397260276</v>
      </c>
      <c r="N7" s="56">
        <f t="shared" ref="N7" si="36">$B$6/O5</f>
        <v>0.24725556664045298</v>
      </c>
      <c r="O7" s="54">
        <f t="shared" si="7"/>
        <v>0.29038959452054797</v>
      </c>
      <c r="P7" s="56">
        <f t="shared" ref="P7" si="37">$B$6/Q5</f>
        <v>0.24527160486979319</v>
      </c>
      <c r="Q7" s="54">
        <f t="shared" si="9"/>
        <v>0.3379439178082192</v>
      </c>
      <c r="R7" s="56">
        <f t="shared" ref="R7" si="38">$B$6/S5</f>
        <v>0.24443613706365483</v>
      </c>
      <c r="S7" s="54">
        <f t="shared" si="11"/>
        <v>0.38527808219178084</v>
      </c>
      <c r="T7" s="56">
        <f t="shared" ref="T7" si="39">$B$6/U5</f>
        <v>0.24584827750825125</v>
      </c>
      <c r="U7" s="54">
        <f t="shared" si="13"/>
        <v>0.43305256438356166</v>
      </c>
      <c r="V7" s="56">
        <f t="shared" ref="V7" si="40">$B$6/W5</f>
        <v>0.24428484495287314</v>
      </c>
      <c r="W7" s="54">
        <f t="shared" si="15"/>
        <v>0.48038672876712329</v>
      </c>
      <c r="X7" s="56">
        <f t="shared" ref="X7" si="41">$B$6/Y5</f>
        <v>0.2442211210488876</v>
      </c>
      <c r="Y7" s="54">
        <f t="shared" si="17"/>
        <v>0.52772089315068493</v>
      </c>
      <c r="Z7" s="56">
        <f t="shared" ref="Z7" si="42">$B$6/AA5</f>
        <v>0.24485986006750585</v>
      </c>
      <c r="AA7" s="54">
        <f t="shared" si="19"/>
        <v>0.57527521643835622</v>
      </c>
      <c r="AB7" s="56">
        <f t="shared" ref="AB7" si="43">$B$6/AC5</f>
        <v>0.24592036452861396</v>
      </c>
      <c r="AC7" s="54">
        <f t="shared" si="21"/>
        <v>0.62315977808219181</v>
      </c>
      <c r="AD7" s="56">
        <f t="shared" ref="AD7" si="44">$B$6/AE5</f>
        <v>0.248118098462867</v>
      </c>
      <c r="AE7" s="54">
        <f t="shared" si="23"/>
        <v>0.67170481643835622</v>
      </c>
      <c r="AF7" s="56">
        <f>$B$6/AG5</f>
        <v>0.24169624280267191</v>
      </c>
      <c r="AG7" s="54">
        <f t="shared" si="25"/>
        <v>0.71837850410958914</v>
      </c>
      <c r="AH7" s="56">
        <f>$B$6/AI5</f>
        <v>0.24348552416080169</v>
      </c>
      <c r="AI7" s="54">
        <f t="shared" si="26"/>
        <v>0.76560258904109602</v>
      </c>
      <c r="AJ7" s="56">
        <f>$B$6/AK5</f>
        <v>0.24078982225923135</v>
      </c>
      <c r="AK7" s="54">
        <f t="shared" si="27"/>
        <v>0.81205611780821929</v>
      </c>
      <c r="AL7" s="56">
        <f>$B$6/AM5</f>
        <v>0.24114608423104211</v>
      </c>
      <c r="AM7" s="54">
        <f t="shared" si="28"/>
        <v>0.85861972602739733</v>
      </c>
      <c r="AN7" s="56">
        <f>$B$6/AO5</f>
        <v>0.24035278843712055</v>
      </c>
      <c r="AO7" s="54">
        <f t="shared" si="29"/>
        <v>0.90496317534246584</v>
      </c>
      <c r="AP7" s="56">
        <f>$B$6/AQ5</f>
        <v>0.23521024564692025</v>
      </c>
      <c r="AQ7" s="54">
        <f t="shared" si="30"/>
        <v>0.94976551232876727</v>
      </c>
      <c r="AR7" s="56">
        <f>$B$6/AS5</f>
        <v>0.23515528837698901</v>
      </c>
      <c r="AS7" s="54">
        <f t="shared" si="31"/>
        <v>0.9945678493150687</v>
      </c>
      <c r="AT7" s="56">
        <f>$B$6/AU5</f>
        <v>0.23185077659284498</v>
      </c>
      <c r="AU7" s="54">
        <f t="shared" si="32"/>
        <v>1.0383794712328769</v>
      </c>
      <c r="AV7" s="59">
        <f>AU7-E7</f>
        <v>0.98950419452054805</v>
      </c>
    </row>
    <row r="8" spans="1:119" x14ac:dyDescent="0.25">
      <c r="AV8" s="59">
        <f>AV6-AV7</f>
        <v>2.5098115068493243E-2</v>
      </c>
    </row>
    <row r="10" spans="1:119" x14ac:dyDescent="0.25">
      <c r="AC10" s="6"/>
    </row>
    <row r="11" spans="1:119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2019-06-01T11:10:56Z</dcterms:modified>
</cp:coreProperties>
</file>